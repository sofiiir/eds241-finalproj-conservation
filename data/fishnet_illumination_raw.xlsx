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esenko/Desktop/"/>
    </mc:Choice>
  </mc:AlternateContent>
  <xr:revisionPtr revIDLastSave="0" documentId="13_ncr:1_{B47E2877-BD07-6A4F-BEC7-165A0BA7BB6B}" xr6:coauthVersionLast="47" xr6:coauthVersionMax="47" xr10:uidLastSave="{00000000-0000-0000-0000-000000000000}"/>
  <bookViews>
    <workbookView xWindow="0" yWindow="460" windowWidth="28800" windowHeight="17540" xr2:uid="{00000000-000D-0000-FFFF-FFFF00000000}"/>
  </bookViews>
  <sheets>
    <sheet name="BPUE, CPUE, MVPUE, efficiency " sheetId="1" r:id="rId1"/>
    <sheet name="Biomass" sheetId="7" r:id="rId2"/>
    <sheet name="Net lengths" sheetId="4" r:id="rId3"/>
    <sheet name="Soak time" sheetId="5" r:id="rId4"/>
    <sheet name="Depth" sheetId="3" r:id="rId5"/>
    <sheet name="Dates" sheetId="6" r:id="rId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7" l="1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" i="7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</calcChain>
</file>

<file path=xl/sharedStrings.xml><?xml version="1.0" encoding="utf-8"?>
<sst xmlns="http://schemas.openxmlformats.org/spreadsheetml/2006/main" count="102" uniqueCount="35">
  <si>
    <t xml:space="preserve">Control net </t>
  </si>
  <si>
    <t>Illuminated</t>
  </si>
  <si>
    <t>Total biomass BPUE</t>
  </si>
  <si>
    <t>Non-finfish biomass BPUE</t>
  </si>
  <si>
    <t>Elasmobranch biomass BPUE</t>
  </si>
  <si>
    <t>Humboldt squid biomass BPUE</t>
  </si>
  <si>
    <t>Loggerhead turtle biomass BPUE</t>
  </si>
  <si>
    <t>Loggerhead turtle number BPUE</t>
  </si>
  <si>
    <t>Gillnet pair</t>
  </si>
  <si>
    <t>Total target fish biomass CPUE</t>
  </si>
  <si>
    <t>Halibut target biomass CPUE</t>
  </si>
  <si>
    <t>Grouper target biomass CPUE</t>
  </si>
  <si>
    <t>Total primary target fish biomass CPUE</t>
  </si>
  <si>
    <t>Total secondary target fish biomass CPUE</t>
  </si>
  <si>
    <t>Market value of total target fish value MVPUE</t>
  </si>
  <si>
    <t>Haulback time per 100 m net</t>
  </si>
  <si>
    <t>Market value of total target fish value (USD)</t>
  </si>
  <si>
    <t>Total target fish biomass (kg)</t>
  </si>
  <si>
    <t>Total primary target fish biomass (kg)</t>
  </si>
  <si>
    <t>Halibut target biomass (kg)</t>
  </si>
  <si>
    <t>Grouper target biomass (kg)</t>
  </si>
  <si>
    <t>Total secondary target fish biomass (kg)</t>
  </si>
  <si>
    <t>Depth (m)</t>
  </si>
  <si>
    <t>Net length (m)</t>
  </si>
  <si>
    <t>Total biomass (mins)</t>
  </si>
  <si>
    <t>Date of deployment</t>
  </si>
  <si>
    <t>Date of retrieval</t>
  </si>
  <si>
    <t>Total bycatch biomass (kg)</t>
  </si>
  <si>
    <t>Non-finfish bycatch biomass (kg)</t>
  </si>
  <si>
    <t>Elasmobranch bycatch biomass (kg)</t>
  </si>
  <si>
    <t>Humboldt squid bycatch biomass (kg)</t>
  </si>
  <si>
    <t xml:space="preserve">Loggerhead turtle bycatch biomass (kg) </t>
  </si>
  <si>
    <t xml:space="preserve">No. of loggerhead turtles (n turtles) </t>
  </si>
  <si>
    <t>Finfish bycatch biomass (kg)</t>
  </si>
  <si>
    <t>Finfish biomass BPUE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</si>
</sst>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"/>
  </numFmts>
  <fonts count="6" x14ac:knownFonts="1">
    <font>
      <sz val="12"/>
      <color theme="1"/>
      <name val="Calibri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0"/>
      <color theme="1"/>
      <name val="Helvetica Neue"/>
      <family val="2"/>
    </font>
    <font>
      <sz val="12"/>
      <color rgb="FF000000"/>
      <name val="Calibri"/>
      <family val="2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2" fontId="2" fillId="0" borderId="2" xfId="0" applyNumberFormat="1" applyFont="1" applyBorder="1"/>
    <xf numFmtId="2" fontId="2" fillId="0" borderId="0" xfId="0" applyNumberFormat="1" applyFont="1" applyBorder="1"/>
    <xf numFmtId="2" fontId="2" fillId="2" borderId="0" xfId="0" applyNumberFormat="1" applyFont="1" applyFill="1" applyBorder="1"/>
    <xf numFmtId="2" fontId="3" fillId="0" borderId="0" xfId="0" applyNumberFormat="1" applyFont="1" applyFill="1" applyBorder="1"/>
    <xf numFmtId="2" fontId="2" fillId="0" borderId="0" xfId="0" applyNumberFormat="1" applyFont="1" applyFill="1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0" borderId="0" xfId="0" applyFill="1"/>
    <xf numFmtId="0" fontId="0" fillId="0" borderId="0" xfId="0" applyBorder="1"/>
    <xf numFmtId="0" fontId="2" fillId="0" borderId="0" xfId="0" applyFont="1" applyFill="1"/>
    <xf numFmtId="0" fontId="2" fillId="2" borderId="0" xfId="0" applyFont="1" applyFill="1"/>
    <xf numFmtId="2" fontId="3" fillId="2" borderId="0" xfId="0" applyNumberFormat="1" applyFont="1" applyFill="1" applyBorder="1"/>
    <xf numFmtId="0" fontId="0" fillId="0" borderId="6" xfId="0" applyBorder="1"/>
    <xf numFmtId="0" fontId="4" fillId="0" borderId="0" xfId="0" applyFont="1"/>
    <xf numFmtId="0" fontId="4" fillId="0" borderId="6" xfId="0" applyFont="1" applyBorder="1"/>
    <xf numFmtId="0" fontId="4" fillId="0" borderId="8" xfId="0" applyFont="1" applyBorder="1"/>
    <xf numFmtId="0" fontId="4" fillId="3" borderId="9" xfId="0" applyFont="1" applyFill="1" applyBorder="1"/>
    <xf numFmtId="0" fontId="4" fillId="0" borderId="1" xfId="0" applyFont="1" applyBorder="1"/>
    <xf numFmtId="0" fontId="0" fillId="0" borderId="0" xfId="0" applyFill="1" applyBorder="1"/>
    <xf numFmtId="1" fontId="0" fillId="0" borderId="0" xfId="0" applyNumberFormat="1" applyFill="1" applyBorder="1"/>
    <xf numFmtId="1" fontId="5" fillId="0" borderId="0" xfId="0" applyNumberFormat="1" applyFont="1" applyFill="1" applyBorder="1"/>
    <xf numFmtId="1" fontId="2" fillId="0" borderId="2" xfId="0" applyNumberFormat="1" applyFont="1" applyBorder="1"/>
    <xf numFmtId="1" fontId="2" fillId="3" borderId="0" xfId="0" applyNumberFormat="1" applyFont="1" applyFill="1"/>
    <xf numFmtId="1" fontId="0" fillId="0" borderId="0" xfId="0" applyNumberFormat="1" applyFill="1" applyBorder="1" applyAlignment="1">
      <alignment wrapText="1"/>
    </xf>
    <xf numFmtId="1" fontId="5" fillId="0" borderId="0" xfId="0" applyNumberFormat="1" applyFont="1" applyFill="1" applyBorder="1" applyAlignment="1">
      <alignment wrapText="1"/>
    </xf>
    <xf numFmtId="16" fontId="0" fillId="0" borderId="0" xfId="0" applyNumberFormat="1"/>
    <xf numFmtId="2" fontId="0" fillId="0" borderId="0" xfId="0" applyNumberFormat="1" applyAlignment="1">
      <alignment horizontal="center"/>
    </xf>
    <xf numFmtId="164" fontId="2" fillId="0" borderId="2" xfId="0" applyNumberFormat="1" applyFont="1" applyBorder="1"/>
    <xf numFmtId="164" fontId="2" fillId="3" borderId="0" xfId="0" applyNumberFormat="1" applyFont="1" applyFill="1"/>
    <xf numFmtId="165" fontId="2" fillId="0" borderId="2" xfId="0" applyNumberFormat="1" applyFont="1" applyBorder="1"/>
    <xf numFmtId="165" fontId="2" fillId="2" borderId="0" xfId="0" applyNumberFormat="1" applyFont="1" applyFill="1" applyBorder="1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2" fontId="0" fillId="0" borderId="0" xfId="0" applyNumberFormat="1"/>
    <xf numFmtId="165" fontId="0" fillId="0" borderId="0" xfId="0" applyNumberFormat="1"/>
    <xf numFmtId="165" fontId="0" fillId="0" borderId="0" xfId="0" applyNumberFormat="1" applyBorder="1"/>
    <xf numFmtId="165" fontId="0" fillId="0" borderId="0" xfId="0" applyNumberFormat="1" applyFill="1"/>
    <xf numFmtId="165" fontId="2" fillId="0" borderId="0" xfId="0" applyNumberFormat="1" applyFont="1" applyBorder="1"/>
    <xf numFmtId="165" fontId="2" fillId="0" borderId="0" xfId="0" applyNumberFormat="1" applyFont="1" applyFill="1" applyBorder="1"/>
    <xf numFmtId="165" fontId="3" fillId="0" borderId="0" xfId="0" applyNumberFormat="1" applyFont="1" applyFill="1" applyBorder="1"/>
    <xf numFmtId="165" fontId="3" fillId="2" borderId="0" xfId="0" applyNumberFormat="1" applyFont="1" applyFill="1" applyBorder="1"/>
    <xf numFmtId="1" fontId="2" fillId="0" borderId="0" xfId="0" applyNumberFormat="1" applyFont="1" applyFill="1"/>
    <xf numFmtId="1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tabSelected="1" zoomScaleNormal="100" workbookViewId="0">
      <selection activeCell="O36" sqref="O36"/>
    </sheetView>
  </sheetViews>
  <sheetFormatPr baseColWidth="10" defaultColWidth="11" defaultRowHeight="16" x14ac:dyDescent="0.2"/>
  <cols>
    <col min="1" max="1" width="10.33203125" customWidth="1"/>
    <col min="3" max="3" width="11.5" customWidth="1"/>
    <col min="8" max="8" width="12.6640625" customWidth="1"/>
    <col min="9" max="9" width="10.5" customWidth="1"/>
    <col min="13" max="13" width="11" style="11"/>
    <col min="14" max="14" width="11" style="10"/>
    <col min="18" max="18" width="11" style="10"/>
    <col min="26" max="26" width="10.6640625" customWidth="1"/>
    <col min="27" max="27" width="10.33203125" customWidth="1"/>
    <col min="29" max="29" width="10.1640625" customWidth="1"/>
  </cols>
  <sheetData>
    <row r="1" spans="1:29" ht="31" customHeight="1" thickBot="1" x14ac:dyDescent="0.25">
      <c r="B1" s="34" t="s">
        <v>2</v>
      </c>
      <c r="C1" s="35"/>
      <c r="D1" s="34" t="s">
        <v>3</v>
      </c>
      <c r="E1" s="38"/>
      <c r="F1" s="34" t="s">
        <v>34</v>
      </c>
      <c r="G1" s="38"/>
      <c r="H1" s="34" t="s">
        <v>4</v>
      </c>
      <c r="I1" s="38"/>
      <c r="J1" s="34" t="s">
        <v>5</v>
      </c>
      <c r="K1" s="38"/>
      <c r="L1" s="34" t="s">
        <v>6</v>
      </c>
      <c r="M1" s="38"/>
      <c r="N1" s="34" t="s">
        <v>7</v>
      </c>
      <c r="O1" s="35"/>
      <c r="P1" s="34" t="s">
        <v>9</v>
      </c>
      <c r="Q1" s="35"/>
      <c r="R1" s="36" t="s">
        <v>12</v>
      </c>
      <c r="S1" s="37"/>
      <c r="T1" s="34" t="s">
        <v>10</v>
      </c>
      <c r="U1" s="38"/>
      <c r="V1" s="34" t="s">
        <v>11</v>
      </c>
      <c r="W1" s="35"/>
      <c r="X1" s="34" t="s">
        <v>13</v>
      </c>
      <c r="Y1" s="35"/>
      <c r="Z1" s="34" t="s">
        <v>14</v>
      </c>
      <c r="AA1" s="35"/>
      <c r="AB1" s="34" t="s">
        <v>15</v>
      </c>
      <c r="AC1" s="35"/>
    </row>
    <row r="2" spans="1:29" ht="17" thickBot="1" x14ac:dyDescent="0.25">
      <c r="A2" s="15" t="s">
        <v>8</v>
      </c>
      <c r="B2" s="7" t="s">
        <v>0</v>
      </c>
      <c r="C2" s="8" t="s">
        <v>1</v>
      </c>
      <c r="D2" s="7" t="s">
        <v>0</v>
      </c>
      <c r="E2" s="8" t="s">
        <v>1</v>
      </c>
      <c r="F2" s="7" t="s">
        <v>0</v>
      </c>
      <c r="G2" s="8" t="s">
        <v>1</v>
      </c>
      <c r="H2" s="7" t="s">
        <v>0</v>
      </c>
      <c r="I2" s="8" t="s">
        <v>1</v>
      </c>
      <c r="J2" s="7" t="s">
        <v>0</v>
      </c>
      <c r="K2" s="8" t="s">
        <v>1</v>
      </c>
      <c r="L2" s="7" t="s">
        <v>0</v>
      </c>
      <c r="M2" s="9" t="s">
        <v>1</v>
      </c>
      <c r="N2" s="7" t="s">
        <v>0</v>
      </c>
      <c r="O2" s="8" t="s">
        <v>1</v>
      </c>
      <c r="P2" s="7" t="s">
        <v>0</v>
      </c>
      <c r="Q2" s="8" t="s">
        <v>1</v>
      </c>
      <c r="R2" s="7" t="s">
        <v>0</v>
      </c>
      <c r="S2" s="8" t="s">
        <v>1</v>
      </c>
      <c r="T2" s="7" t="s">
        <v>0</v>
      </c>
      <c r="U2" s="9" t="s">
        <v>1</v>
      </c>
      <c r="V2" s="7" t="s">
        <v>0</v>
      </c>
      <c r="W2" s="8" t="s">
        <v>1</v>
      </c>
      <c r="X2" s="7" t="s">
        <v>0</v>
      </c>
      <c r="Y2" s="8" t="s">
        <v>1</v>
      </c>
      <c r="Z2" s="7" t="s">
        <v>0</v>
      </c>
      <c r="AA2" s="8" t="s">
        <v>1</v>
      </c>
      <c r="AB2" s="7" t="s">
        <v>0</v>
      </c>
      <c r="AC2" s="8" t="s">
        <v>1</v>
      </c>
    </row>
    <row r="3" spans="1:29" x14ac:dyDescent="0.2">
      <c r="A3" s="1">
        <v>1</v>
      </c>
      <c r="B3" s="2">
        <v>5.8928845470000004</v>
      </c>
      <c r="C3" s="4">
        <v>6.0026678520000001</v>
      </c>
      <c r="D3" s="3">
        <v>0</v>
      </c>
      <c r="E3" s="4">
        <v>0</v>
      </c>
      <c r="F3" s="3">
        <v>5.8928845470000004</v>
      </c>
      <c r="G3" s="4">
        <v>6.0026678520000001</v>
      </c>
      <c r="H3" s="3">
        <v>0</v>
      </c>
      <c r="I3" s="4">
        <v>0</v>
      </c>
      <c r="J3" s="3">
        <v>0</v>
      </c>
      <c r="K3" s="4">
        <v>0</v>
      </c>
      <c r="L3" s="3">
        <v>0</v>
      </c>
      <c r="M3" s="4">
        <v>0</v>
      </c>
      <c r="N3" s="12">
        <v>0</v>
      </c>
      <c r="O3" s="13">
        <v>0</v>
      </c>
      <c r="P3" s="3">
        <v>0</v>
      </c>
      <c r="Q3" s="4">
        <v>1.333926189</v>
      </c>
      <c r="R3" s="6">
        <v>0</v>
      </c>
      <c r="S3" s="4">
        <v>0</v>
      </c>
      <c r="T3" s="3">
        <v>0</v>
      </c>
      <c r="U3" s="4">
        <v>0</v>
      </c>
      <c r="V3" s="3">
        <v>0</v>
      </c>
      <c r="W3" s="4">
        <v>0</v>
      </c>
      <c r="X3" s="3">
        <v>0</v>
      </c>
      <c r="Y3" s="4">
        <v>1.333926189</v>
      </c>
      <c r="Z3" s="5">
        <v>0</v>
      </c>
      <c r="AA3" s="14">
        <v>2.6678523788350401</v>
      </c>
      <c r="AB3" s="5">
        <v>2.8901734104046244</v>
      </c>
      <c r="AC3" s="14">
        <v>2.3121387283236996</v>
      </c>
    </row>
    <row r="4" spans="1:29" x14ac:dyDescent="0.2">
      <c r="A4" s="1">
        <f>A3+1</f>
        <v>2</v>
      </c>
      <c r="B4" s="2">
        <v>14.39497706</v>
      </c>
      <c r="C4" s="4">
        <v>4.8080936239999996</v>
      </c>
      <c r="D4" s="3">
        <v>5.758</v>
      </c>
      <c r="E4" s="4">
        <v>0</v>
      </c>
      <c r="F4" s="3">
        <v>8.6369770579999994</v>
      </c>
      <c r="G4" s="4">
        <v>4.8080936239999996</v>
      </c>
      <c r="H4" s="3">
        <v>5.758</v>
      </c>
      <c r="I4" s="4">
        <v>0</v>
      </c>
      <c r="J4" s="3">
        <v>0</v>
      </c>
      <c r="K4" s="4">
        <v>0</v>
      </c>
      <c r="L4" s="3">
        <v>0</v>
      </c>
      <c r="M4" s="4">
        <v>0</v>
      </c>
      <c r="N4" s="12">
        <v>0</v>
      </c>
      <c r="O4" s="13">
        <v>0</v>
      </c>
      <c r="P4" s="3">
        <v>0</v>
      </c>
      <c r="Q4" s="4">
        <v>0</v>
      </c>
      <c r="R4" s="6">
        <v>0</v>
      </c>
      <c r="S4" s="4">
        <v>0</v>
      </c>
      <c r="T4" s="3">
        <v>0</v>
      </c>
      <c r="U4" s="4">
        <v>0</v>
      </c>
      <c r="V4" s="3">
        <v>0</v>
      </c>
      <c r="W4" s="4">
        <v>0</v>
      </c>
      <c r="X4" s="3">
        <v>0</v>
      </c>
      <c r="Y4" s="4">
        <v>0</v>
      </c>
      <c r="Z4" s="5">
        <v>0</v>
      </c>
      <c r="AA4" s="14">
        <v>0</v>
      </c>
      <c r="AB4" s="5">
        <v>8.2051282051282062</v>
      </c>
      <c r="AC4" s="14">
        <v>3.0150753768844223</v>
      </c>
    </row>
    <row r="5" spans="1:29" x14ac:dyDescent="0.2">
      <c r="A5" s="1">
        <f t="shared" ref="A5:A30" si="0">A4+1</f>
        <v>3</v>
      </c>
      <c r="B5" s="2">
        <v>75.998909190000006</v>
      </c>
      <c r="C5" s="4">
        <v>4.6740726920000002</v>
      </c>
      <c r="D5" s="3">
        <v>68.145077720000003</v>
      </c>
      <c r="E5" s="4">
        <v>0</v>
      </c>
      <c r="F5" s="3">
        <v>7.8538314700000003</v>
      </c>
      <c r="G5" s="4">
        <v>4.6740726920000002</v>
      </c>
      <c r="H5" s="3">
        <v>0</v>
      </c>
      <c r="I5" s="4">
        <v>0</v>
      </c>
      <c r="J5" s="3">
        <v>0</v>
      </c>
      <c r="K5" s="4">
        <v>0</v>
      </c>
      <c r="L5" s="3">
        <v>68.145077720000003</v>
      </c>
      <c r="M5" s="4">
        <v>0</v>
      </c>
      <c r="N5" s="12">
        <v>1.9634578674665941</v>
      </c>
      <c r="O5" s="13">
        <v>0</v>
      </c>
      <c r="P5" s="3">
        <v>0</v>
      </c>
      <c r="Q5" s="4">
        <v>0</v>
      </c>
      <c r="R5" s="6">
        <v>0</v>
      </c>
      <c r="S5" s="4">
        <v>0</v>
      </c>
      <c r="T5" s="3">
        <v>0</v>
      </c>
      <c r="U5" s="4">
        <v>0</v>
      </c>
      <c r="V5" s="3">
        <v>0</v>
      </c>
      <c r="W5" s="4">
        <v>0</v>
      </c>
      <c r="X5" s="3">
        <v>0</v>
      </c>
      <c r="Y5" s="4">
        <v>0</v>
      </c>
      <c r="Z5" s="5">
        <v>0</v>
      </c>
      <c r="AA5" s="14">
        <v>0</v>
      </c>
      <c r="AB5" s="5">
        <v>17.894736842105264</v>
      </c>
      <c r="AC5" s="14">
        <v>2.1390374331550799</v>
      </c>
    </row>
    <row r="6" spans="1:29" x14ac:dyDescent="0.2">
      <c r="A6" s="1">
        <f t="shared" si="0"/>
        <v>4</v>
      </c>
      <c r="B6" s="2">
        <v>41.205570569999999</v>
      </c>
      <c r="C6" s="4">
        <v>21.374881569999999</v>
      </c>
      <c r="D6" s="3">
        <v>27.902722929999999</v>
      </c>
      <c r="E6" s="4">
        <v>15.31108538</v>
      </c>
      <c r="F6" s="3">
        <v>13.30284764</v>
      </c>
      <c r="G6" s="4">
        <v>6.0637961889999996</v>
      </c>
      <c r="H6" s="3">
        <v>0</v>
      </c>
      <c r="I6" s="4">
        <v>0</v>
      </c>
      <c r="J6" s="3">
        <v>0</v>
      </c>
      <c r="K6" s="4">
        <v>0</v>
      </c>
      <c r="L6" s="3">
        <v>27.902722929999999</v>
      </c>
      <c r="M6" s="4">
        <v>15.31108538</v>
      </c>
      <c r="N6" s="12">
        <v>0.8314279775514446</v>
      </c>
      <c r="O6" s="13">
        <v>0.75797452363406681</v>
      </c>
      <c r="P6" s="3">
        <v>0</v>
      </c>
      <c r="Q6" s="4">
        <v>0</v>
      </c>
      <c r="R6" s="6">
        <v>0</v>
      </c>
      <c r="S6" s="4">
        <v>0</v>
      </c>
      <c r="T6" s="3">
        <v>0</v>
      </c>
      <c r="U6" s="4">
        <v>0</v>
      </c>
      <c r="V6" s="3">
        <v>0</v>
      </c>
      <c r="W6" s="4">
        <v>0</v>
      </c>
      <c r="X6" s="3">
        <v>0</v>
      </c>
      <c r="Y6" s="4">
        <v>0</v>
      </c>
      <c r="Z6" s="5">
        <v>0</v>
      </c>
      <c r="AA6" s="14">
        <v>0</v>
      </c>
      <c r="AB6" s="5">
        <v>10.457516339869281</v>
      </c>
      <c r="AC6" s="14">
        <v>3.1055900621118009</v>
      </c>
    </row>
    <row r="7" spans="1:29" x14ac:dyDescent="0.2">
      <c r="A7" s="1">
        <f t="shared" si="0"/>
        <v>5</v>
      </c>
      <c r="B7" s="2">
        <v>39.001304320000003</v>
      </c>
      <c r="C7" s="4">
        <v>26.678530460000001</v>
      </c>
      <c r="D7" s="3">
        <v>34.895899999999997</v>
      </c>
      <c r="E7" s="4">
        <v>25.077819030000001</v>
      </c>
      <c r="F7" s="3">
        <v>4.1054043199999999</v>
      </c>
      <c r="G7" s="4">
        <v>1.600711427</v>
      </c>
      <c r="H7" s="3">
        <v>0</v>
      </c>
      <c r="I7" s="4">
        <v>3.7349999999999999</v>
      </c>
      <c r="J7" s="3">
        <v>34.895899999999997</v>
      </c>
      <c r="K7" s="4">
        <v>0</v>
      </c>
      <c r="L7" s="3">
        <v>0</v>
      </c>
      <c r="M7" s="4">
        <v>21.342819030000001</v>
      </c>
      <c r="N7" s="12">
        <v>0</v>
      </c>
      <c r="O7" s="13">
        <v>0.53357047576700756</v>
      </c>
      <c r="P7" s="3">
        <v>0</v>
      </c>
      <c r="Q7" s="4">
        <v>0</v>
      </c>
      <c r="R7" s="6">
        <v>0</v>
      </c>
      <c r="S7" s="4">
        <v>0</v>
      </c>
      <c r="T7" s="3">
        <v>0</v>
      </c>
      <c r="U7" s="4">
        <v>0</v>
      </c>
      <c r="V7" s="3">
        <v>0</v>
      </c>
      <c r="W7" s="4">
        <v>0</v>
      </c>
      <c r="X7" s="3">
        <v>0</v>
      </c>
      <c r="Y7" s="4">
        <v>0</v>
      </c>
      <c r="Z7" s="5">
        <v>0</v>
      </c>
      <c r="AA7" s="14">
        <v>0</v>
      </c>
      <c r="AB7" s="5">
        <v>10.404624277456648</v>
      </c>
      <c r="AC7" s="14">
        <v>4.0462427745664744</v>
      </c>
    </row>
    <row r="8" spans="1:29" x14ac:dyDescent="0.2">
      <c r="A8" s="1">
        <f t="shared" si="0"/>
        <v>6</v>
      </c>
      <c r="B8" s="2">
        <v>32.042621089999997</v>
      </c>
      <c r="C8" s="4">
        <v>15.265312460000001</v>
      </c>
      <c r="D8" s="3">
        <v>25.3672</v>
      </c>
      <c r="E8" s="4">
        <v>9.0638000000000005</v>
      </c>
      <c r="F8" s="3">
        <v>6.6754210939999998</v>
      </c>
      <c r="G8" s="4">
        <v>6.2015124630000003</v>
      </c>
      <c r="H8" s="3">
        <v>22.696999999999999</v>
      </c>
      <c r="I8" s="4">
        <v>0.47699999999999998</v>
      </c>
      <c r="J8" s="3">
        <v>2.6701999999999999</v>
      </c>
      <c r="K8" s="4">
        <v>8.5868000000000002</v>
      </c>
      <c r="L8" s="3">
        <v>0</v>
      </c>
      <c r="M8" s="4">
        <v>0</v>
      </c>
      <c r="N8" s="12">
        <v>0</v>
      </c>
      <c r="O8" s="13">
        <v>0</v>
      </c>
      <c r="P8" s="3">
        <v>0</v>
      </c>
      <c r="Q8" s="4">
        <v>0.95412701300000002</v>
      </c>
      <c r="R8" s="6">
        <v>0</v>
      </c>
      <c r="S8" s="4">
        <v>0</v>
      </c>
      <c r="T8" s="3">
        <v>0</v>
      </c>
      <c r="U8" s="4">
        <v>0</v>
      </c>
      <c r="V8" s="3">
        <v>0</v>
      </c>
      <c r="W8" s="4">
        <v>0</v>
      </c>
      <c r="X8" s="3">
        <v>0</v>
      </c>
      <c r="Y8" s="4">
        <v>0.95412701300000002</v>
      </c>
      <c r="Z8" s="5">
        <v>0</v>
      </c>
      <c r="AA8" s="14">
        <v>0.47704233750745401</v>
      </c>
      <c r="AB8" s="5">
        <v>13.06532663316583</v>
      </c>
      <c r="AC8" s="14">
        <v>5.6410256410256414</v>
      </c>
    </row>
    <row r="9" spans="1:29" x14ac:dyDescent="0.2">
      <c r="A9" s="1">
        <f t="shared" si="0"/>
        <v>7</v>
      </c>
      <c r="B9" s="2">
        <v>11.833486519999999</v>
      </c>
      <c r="C9" s="4">
        <v>20.33376123</v>
      </c>
      <c r="D9" s="3">
        <v>5.9169999999999998</v>
      </c>
      <c r="E9" s="4">
        <v>16.636713740000001</v>
      </c>
      <c r="F9" s="3">
        <v>5.9164865170000001</v>
      </c>
      <c r="G9" s="4">
        <v>3.6970474969999998</v>
      </c>
      <c r="H9" s="3">
        <v>5.9169999999999998</v>
      </c>
      <c r="I9" s="4">
        <v>0</v>
      </c>
      <c r="J9" s="3">
        <v>0</v>
      </c>
      <c r="K9" s="4">
        <v>0</v>
      </c>
      <c r="L9" s="3">
        <v>0</v>
      </c>
      <c r="M9" s="4">
        <v>16.636713740000001</v>
      </c>
      <c r="N9" s="12">
        <v>0</v>
      </c>
      <c r="O9" s="13">
        <v>0.46213093709884473</v>
      </c>
      <c r="P9" s="3">
        <v>0</v>
      </c>
      <c r="Q9" s="4">
        <v>0</v>
      </c>
      <c r="R9" s="6">
        <v>0</v>
      </c>
      <c r="S9" s="4">
        <v>0</v>
      </c>
      <c r="T9" s="3">
        <v>0</v>
      </c>
      <c r="U9" s="4">
        <v>0</v>
      </c>
      <c r="V9" s="3">
        <v>0</v>
      </c>
      <c r="W9" s="4">
        <v>0</v>
      </c>
      <c r="X9" s="3">
        <v>0</v>
      </c>
      <c r="Y9" s="4">
        <v>0</v>
      </c>
      <c r="Z9" s="5">
        <v>0</v>
      </c>
      <c r="AA9" s="14">
        <v>0</v>
      </c>
      <c r="AB9" s="5">
        <v>8.5561497326203195</v>
      </c>
      <c r="AC9" s="14">
        <v>7.8947368421052637</v>
      </c>
    </row>
    <row r="10" spans="1:29" x14ac:dyDescent="0.2">
      <c r="A10" s="1">
        <f t="shared" si="0"/>
        <v>8</v>
      </c>
      <c r="B10" s="2">
        <v>48.31866909</v>
      </c>
      <c r="C10" s="4">
        <v>9.0064734029999993</v>
      </c>
      <c r="D10" s="3">
        <v>34.439894199999998</v>
      </c>
      <c r="E10" s="4">
        <v>0</v>
      </c>
      <c r="F10" s="3">
        <v>13.8787749</v>
      </c>
      <c r="G10" s="4">
        <v>9.0064734029999993</v>
      </c>
      <c r="H10" s="3">
        <v>0.51400000000000001</v>
      </c>
      <c r="I10" s="4">
        <v>0</v>
      </c>
      <c r="J10" s="3">
        <v>0</v>
      </c>
      <c r="K10" s="4">
        <v>0</v>
      </c>
      <c r="L10" s="3">
        <v>33.925894200000002</v>
      </c>
      <c r="M10" s="4">
        <v>0</v>
      </c>
      <c r="N10" s="12">
        <v>1.0280573998714928</v>
      </c>
      <c r="O10" s="13">
        <v>0</v>
      </c>
      <c r="P10" s="3">
        <v>0</v>
      </c>
      <c r="Q10" s="4">
        <v>0</v>
      </c>
      <c r="R10" s="6">
        <v>0</v>
      </c>
      <c r="S10" s="4">
        <v>0</v>
      </c>
      <c r="T10" s="3">
        <v>0</v>
      </c>
      <c r="U10" s="4">
        <v>0</v>
      </c>
      <c r="V10" s="3">
        <v>0</v>
      </c>
      <c r="W10" s="4">
        <v>0</v>
      </c>
      <c r="X10" s="3">
        <v>0</v>
      </c>
      <c r="Y10" s="4">
        <v>0</v>
      </c>
      <c r="Z10" s="5">
        <v>0</v>
      </c>
      <c r="AA10" s="14">
        <v>0</v>
      </c>
      <c r="AB10" s="5">
        <v>28.571428571428569</v>
      </c>
      <c r="AC10" s="14">
        <v>9.1503267973856204</v>
      </c>
    </row>
    <row r="11" spans="1:29" x14ac:dyDescent="0.2">
      <c r="A11" s="1">
        <f t="shared" si="0"/>
        <v>9</v>
      </c>
      <c r="B11" s="2">
        <v>30.986558859999999</v>
      </c>
      <c r="C11" s="4">
        <v>21.513600029999999</v>
      </c>
      <c r="D11" s="3">
        <v>21.904199999999999</v>
      </c>
      <c r="E11" s="4">
        <v>20.47829904</v>
      </c>
      <c r="F11" s="3">
        <v>9.0823588609999995</v>
      </c>
      <c r="G11" s="4">
        <v>1.035300992</v>
      </c>
      <c r="H11" s="3">
        <v>0.53400000000000003</v>
      </c>
      <c r="I11" s="4">
        <v>0.51800000000000002</v>
      </c>
      <c r="J11" s="3">
        <v>21.370200000000001</v>
      </c>
      <c r="K11" s="4">
        <v>2.5882000000000001</v>
      </c>
      <c r="L11" s="3">
        <v>0</v>
      </c>
      <c r="M11" s="4">
        <v>17.372099039999998</v>
      </c>
      <c r="N11" s="12">
        <v>0</v>
      </c>
      <c r="O11" s="13">
        <v>0.51764299887844023</v>
      </c>
      <c r="P11" s="3">
        <v>0</v>
      </c>
      <c r="Q11" s="4">
        <v>0</v>
      </c>
      <c r="R11" s="6">
        <v>0</v>
      </c>
      <c r="S11" s="4">
        <v>0</v>
      </c>
      <c r="T11" s="3">
        <v>0</v>
      </c>
      <c r="U11" s="4">
        <v>0</v>
      </c>
      <c r="V11" s="3">
        <v>0</v>
      </c>
      <c r="W11" s="4">
        <v>0</v>
      </c>
      <c r="X11" s="3">
        <v>0</v>
      </c>
      <c r="Y11" s="4">
        <v>0</v>
      </c>
      <c r="Z11" s="5">
        <v>0</v>
      </c>
      <c r="AA11" s="14">
        <v>0</v>
      </c>
      <c r="AB11" s="5">
        <v>12.716763005780347</v>
      </c>
      <c r="AC11" s="14">
        <v>10.404624277456648</v>
      </c>
    </row>
    <row r="12" spans="1:29" x14ac:dyDescent="0.2">
      <c r="A12" s="1">
        <f t="shared" si="0"/>
        <v>10</v>
      </c>
      <c r="B12" s="2">
        <v>48.477400690000003</v>
      </c>
      <c r="C12" s="4">
        <v>6.1397898580000003</v>
      </c>
      <c r="D12" s="3">
        <v>42.507290930000003</v>
      </c>
      <c r="E12" s="4">
        <v>0</v>
      </c>
      <c r="F12" s="3">
        <v>5.9701097589999996</v>
      </c>
      <c r="G12" s="4">
        <v>6.1397898580000003</v>
      </c>
      <c r="H12" s="3">
        <v>2.2959999999999998</v>
      </c>
      <c r="I12" s="4">
        <v>0</v>
      </c>
      <c r="J12" s="3">
        <v>8.2664000000000009</v>
      </c>
      <c r="K12" s="4">
        <v>0</v>
      </c>
      <c r="L12" s="3">
        <v>31.94489093</v>
      </c>
      <c r="M12" s="4">
        <v>0</v>
      </c>
      <c r="N12" s="12">
        <v>0.91848450057405273</v>
      </c>
      <c r="O12" s="13">
        <v>0</v>
      </c>
      <c r="P12" s="3">
        <v>2.0666013780000001</v>
      </c>
      <c r="Q12" s="4">
        <v>2.631338511</v>
      </c>
      <c r="R12" s="6">
        <v>0.22962112514351318</v>
      </c>
      <c r="S12" s="4">
        <v>1.5349474645957057</v>
      </c>
      <c r="T12" s="3">
        <v>0</v>
      </c>
      <c r="U12" s="4">
        <v>0</v>
      </c>
      <c r="V12" s="3">
        <v>0.22962112500000001</v>
      </c>
      <c r="W12" s="4">
        <v>1.5349474649999999</v>
      </c>
      <c r="X12" s="3">
        <v>1.8369802529999999</v>
      </c>
      <c r="Y12" s="4">
        <v>1.0963910459999999</v>
      </c>
      <c r="Z12" s="5">
        <v>4.1331802525832373</v>
      </c>
      <c r="AA12" s="14">
        <v>7.6747373229785287</v>
      </c>
      <c r="AB12" s="5">
        <v>13.846153846153847</v>
      </c>
      <c r="AC12" s="14">
        <v>3.0150753768844223</v>
      </c>
    </row>
    <row r="13" spans="1:29" x14ac:dyDescent="0.2">
      <c r="A13" s="1">
        <f t="shared" si="0"/>
        <v>11</v>
      </c>
      <c r="B13" s="2">
        <v>12.34137084</v>
      </c>
      <c r="C13" s="4">
        <v>36.095062429999999</v>
      </c>
      <c r="D13" s="3">
        <v>2.6619999999999999</v>
      </c>
      <c r="E13" s="4">
        <v>31.31805576</v>
      </c>
      <c r="F13" s="3">
        <v>9.6793708410000008</v>
      </c>
      <c r="G13" s="4">
        <v>4.777006675</v>
      </c>
      <c r="H13" s="3">
        <v>2.6619999999999999</v>
      </c>
      <c r="I13" s="4">
        <v>0</v>
      </c>
      <c r="J13" s="3">
        <v>0</v>
      </c>
      <c r="K13" s="4">
        <v>0</v>
      </c>
      <c r="L13" s="3">
        <v>0</v>
      </c>
      <c r="M13" s="4">
        <v>31.31805576</v>
      </c>
      <c r="N13" s="12">
        <v>0</v>
      </c>
      <c r="O13" s="13">
        <v>0.95540133490797619</v>
      </c>
      <c r="P13" s="3">
        <v>5.0816966729999997</v>
      </c>
      <c r="Q13" s="4">
        <v>3.105054338</v>
      </c>
      <c r="R13" s="6">
        <v>2.4198427102238358</v>
      </c>
      <c r="S13" s="4">
        <v>0</v>
      </c>
      <c r="T13" s="3">
        <v>0</v>
      </c>
      <c r="U13" s="4">
        <v>0</v>
      </c>
      <c r="V13" s="3">
        <v>2.4198427100000002</v>
      </c>
      <c r="W13" s="4">
        <v>0</v>
      </c>
      <c r="X13" s="3">
        <v>2.661853963</v>
      </c>
      <c r="Y13" s="4">
        <v>3.105054338</v>
      </c>
      <c r="Z13" s="5">
        <v>17.422867513611617</v>
      </c>
      <c r="AA13" s="14">
        <v>3.3677897055506163</v>
      </c>
      <c r="AB13" s="5">
        <v>12.631578947368421</v>
      </c>
      <c r="AC13" s="14">
        <v>5.3475935828877006</v>
      </c>
    </row>
    <row r="14" spans="1:29" x14ac:dyDescent="0.2">
      <c r="A14" s="1">
        <f t="shared" si="0"/>
        <v>12</v>
      </c>
      <c r="B14" s="2">
        <v>8.6931324249999999</v>
      </c>
      <c r="C14" s="4">
        <v>42.209310090000002</v>
      </c>
      <c r="D14" s="3">
        <v>0</v>
      </c>
      <c r="E14" s="4">
        <v>40.6064249</v>
      </c>
      <c r="F14" s="3">
        <v>8.6931324249999999</v>
      </c>
      <c r="G14" s="4">
        <v>1.6028851930000001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40.6064249</v>
      </c>
      <c r="N14" s="12">
        <v>0</v>
      </c>
      <c r="O14" s="13">
        <v>1.0685901288986841</v>
      </c>
      <c r="P14" s="3">
        <v>0.57957108099999999</v>
      </c>
      <c r="Q14" s="4">
        <v>0.53429506400000004</v>
      </c>
      <c r="R14" s="6">
        <v>0.57957108084613163</v>
      </c>
      <c r="S14" s="4">
        <v>0.53429506444934205</v>
      </c>
      <c r="T14" s="3">
        <v>0.2898</v>
      </c>
      <c r="U14" s="4">
        <v>0</v>
      </c>
      <c r="V14" s="3">
        <v>0.28977108099999999</v>
      </c>
      <c r="W14" s="4">
        <v>0.53429506400000004</v>
      </c>
      <c r="X14" s="3">
        <v>0</v>
      </c>
      <c r="Y14" s="4">
        <v>0</v>
      </c>
      <c r="Z14" s="5">
        <v>2.3181686467690525</v>
      </c>
      <c r="AA14" s="14">
        <v>2.6714753222467102</v>
      </c>
      <c r="AB14" s="5">
        <v>15.032679738562091</v>
      </c>
      <c r="AC14" s="14">
        <v>6.8322981366459627</v>
      </c>
    </row>
    <row r="15" spans="1:29" x14ac:dyDescent="0.2">
      <c r="A15" s="1">
        <f t="shared" si="0"/>
        <v>13</v>
      </c>
      <c r="B15" s="2">
        <v>87.271322069999997</v>
      </c>
      <c r="C15" s="4">
        <v>39.76988961</v>
      </c>
      <c r="D15" s="3">
        <v>81.474903130000001</v>
      </c>
      <c r="E15" s="4">
        <v>35.2887384</v>
      </c>
      <c r="F15" s="3">
        <v>5.7964189429999999</v>
      </c>
      <c r="G15" s="4">
        <v>4.4811512029999996</v>
      </c>
      <c r="H15" s="3">
        <v>0</v>
      </c>
      <c r="I15" s="4">
        <v>0.56000000000000005</v>
      </c>
      <c r="J15" s="3">
        <v>42.314100000000003</v>
      </c>
      <c r="K15" s="4">
        <v>17.924499999999998</v>
      </c>
      <c r="L15" s="3">
        <v>39.160803129999998</v>
      </c>
      <c r="M15" s="4">
        <v>16.804238399999999</v>
      </c>
      <c r="N15" s="12">
        <v>1.1592896130870916</v>
      </c>
      <c r="O15" s="13">
        <v>0.56014128007841979</v>
      </c>
      <c r="P15" s="3">
        <v>0</v>
      </c>
      <c r="Q15" s="4">
        <v>0</v>
      </c>
      <c r="R15" s="6">
        <v>0</v>
      </c>
      <c r="S15" s="4">
        <v>0</v>
      </c>
      <c r="T15" s="3">
        <v>0</v>
      </c>
      <c r="U15" s="4">
        <v>0</v>
      </c>
      <c r="V15" s="3">
        <v>0</v>
      </c>
      <c r="W15" s="4">
        <v>0</v>
      </c>
      <c r="X15" s="3">
        <v>0</v>
      </c>
      <c r="Y15" s="4">
        <v>0</v>
      </c>
      <c r="Z15" s="5">
        <v>0</v>
      </c>
      <c r="AA15" s="14">
        <v>0</v>
      </c>
      <c r="AB15" s="5">
        <v>14.450867052023122</v>
      </c>
      <c r="AC15" s="14">
        <v>9.8265895953757223</v>
      </c>
    </row>
    <row r="16" spans="1:29" x14ac:dyDescent="0.2">
      <c r="A16" s="1">
        <f t="shared" si="0"/>
        <v>14</v>
      </c>
      <c r="B16" s="2">
        <v>77.857141799999994</v>
      </c>
      <c r="C16" s="4">
        <v>7.8532195859999998</v>
      </c>
      <c r="D16" s="3">
        <v>77.267300000000006</v>
      </c>
      <c r="E16" s="4">
        <v>5.6093999999999999</v>
      </c>
      <c r="F16" s="3">
        <v>0.58984180399999997</v>
      </c>
      <c r="G16" s="4">
        <v>2.2438195859999999</v>
      </c>
      <c r="H16" s="3">
        <v>0.59</v>
      </c>
      <c r="I16" s="4">
        <v>0</v>
      </c>
      <c r="J16" s="3">
        <v>76.677300000000002</v>
      </c>
      <c r="K16" s="4">
        <v>5.6093999999999999</v>
      </c>
      <c r="L16" s="3">
        <v>0</v>
      </c>
      <c r="M16" s="4">
        <v>0</v>
      </c>
      <c r="N16" s="12">
        <v>0</v>
      </c>
      <c r="O16" s="13">
        <v>0</v>
      </c>
      <c r="P16" s="3">
        <v>1.1796765300000001</v>
      </c>
      <c r="Q16" s="4">
        <v>0</v>
      </c>
      <c r="R16" s="6">
        <v>0</v>
      </c>
      <c r="S16" s="4">
        <v>0</v>
      </c>
      <c r="T16" s="3">
        <v>0</v>
      </c>
      <c r="U16" s="4">
        <v>0</v>
      </c>
      <c r="V16" s="3">
        <v>0</v>
      </c>
      <c r="W16" s="4">
        <v>0</v>
      </c>
      <c r="X16" s="3">
        <v>1.1796765300000001</v>
      </c>
      <c r="Y16" s="4">
        <v>0</v>
      </c>
      <c r="Z16" s="5">
        <v>0.58982550995330552</v>
      </c>
      <c r="AA16" s="14">
        <v>0</v>
      </c>
      <c r="AB16" s="5">
        <v>12.820512820512821</v>
      </c>
      <c r="AC16" s="14">
        <v>6.0301507537688446</v>
      </c>
    </row>
    <row r="17" spans="1:29" x14ac:dyDescent="0.2">
      <c r="A17" s="1">
        <f t="shared" si="0"/>
        <v>15</v>
      </c>
      <c r="B17" s="2">
        <v>25.393380359999998</v>
      </c>
      <c r="C17" s="4">
        <v>5.7623049220000002</v>
      </c>
      <c r="D17" s="3">
        <v>22.4634</v>
      </c>
      <c r="E17" s="4">
        <v>5.2385000000000002</v>
      </c>
      <c r="F17" s="3">
        <v>2.9299803579999999</v>
      </c>
      <c r="G17" s="4">
        <v>0.52380492199999995</v>
      </c>
      <c r="H17" s="3">
        <v>0</v>
      </c>
      <c r="I17" s="4">
        <v>0</v>
      </c>
      <c r="J17" s="3">
        <v>22.4634</v>
      </c>
      <c r="K17" s="4">
        <v>5.2385000000000002</v>
      </c>
      <c r="L17" s="3">
        <v>0</v>
      </c>
      <c r="M17" s="4">
        <v>0</v>
      </c>
      <c r="N17" s="12">
        <v>0</v>
      </c>
      <c r="O17" s="13">
        <v>0</v>
      </c>
      <c r="P17" s="3">
        <v>0</v>
      </c>
      <c r="Q17" s="4">
        <v>0</v>
      </c>
      <c r="R17" s="6">
        <v>0</v>
      </c>
      <c r="S17" s="4">
        <v>0</v>
      </c>
      <c r="T17" s="3">
        <v>0</v>
      </c>
      <c r="U17" s="4">
        <v>0</v>
      </c>
      <c r="V17" s="3">
        <v>0</v>
      </c>
      <c r="W17" s="4">
        <v>0</v>
      </c>
      <c r="X17" s="3">
        <v>0</v>
      </c>
      <c r="Y17" s="4">
        <v>0</v>
      </c>
      <c r="Z17" s="5">
        <v>0</v>
      </c>
      <c r="AA17" s="14">
        <v>0</v>
      </c>
      <c r="AB17" s="5">
        <v>8.4210526315789469</v>
      </c>
      <c r="AC17" s="14">
        <v>5.8823529411764701</v>
      </c>
    </row>
    <row r="18" spans="1:29" x14ac:dyDescent="0.2">
      <c r="A18" s="1">
        <f t="shared" si="0"/>
        <v>16</v>
      </c>
      <c r="B18" s="2">
        <v>66.502289540000007</v>
      </c>
      <c r="C18" s="4">
        <v>4.6855002570000002</v>
      </c>
      <c r="D18" s="3">
        <v>57.485078870000002</v>
      </c>
      <c r="E18" s="4">
        <v>0</v>
      </c>
      <c r="F18" s="3">
        <v>9.0172106729999992</v>
      </c>
      <c r="G18" s="4">
        <v>4.6855002570000002</v>
      </c>
      <c r="H18" s="3">
        <v>0</v>
      </c>
      <c r="I18" s="4">
        <v>0</v>
      </c>
      <c r="J18" s="3">
        <v>3.9451000000000001</v>
      </c>
      <c r="K18" s="4">
        <v>0</v>
      </c>
      <c r="L18" s="3">
        <v>53.539978869999999</v>
      </c>
      <c r="M18" s="4">
        <v>0</v>
      </c>
      <c r="N18" s="12">
        <v>1.6907361747094045</v>
      </c>
      <c r="O18" s="13">
        <v>0</v>
      </c>
      <c r="P18" s="3">
        <v>0</v>
      </c>
      <c r="Q18" s="4">
        <v>2.8633612679999998</v>
      </c>
      <c r="R18" s="6">
        <v>0</v>
      </c>
      <c r="S18" s="4">
        <v>1.0411999999999999</v>
      </c>
      <c r="T18" s="3">
        <v>0</v>
      </c>
      <c r="U18" s="4">
        <v>1.0411999999999999</v>
      </c>
      <c r="V18" s="3">
        <v>0</v>
      </c>
      <c r="W18" s="4">
        <v>0</v>
      </c>
      <c r="X18" s="3">
        <v>0</v>
      </c>
      <c r="Y18" s="4">
        <v>1.8221612679999999</v>
      </c>
      <c r="Z18" s="5">
        <v>0</v>
      </c>
      <c r="AA18" s="14">
        <v>4.0347363321499099</v>
      </c>
      <c r="AB18" s="5">
        <v>29.411764705882351</v>
      </c>
      <c r="AC18" s="14">
        <v>3.1055900621118009</v>
      </c>
    </row>
    <row r="19" spans="1:29" x14ac:dyDescent="0.2">
      <c r="A19" s="1">
        <f t="shared" si="0"/>
        <v>17</v>
      </c>
      <c r="B19" s="2">
        <v>39.437350309999999</v>
      </c>
      <c r="C19" s="4">
        <v>1.053632838</v>
      </c>
      <c r="D19" s="3">
        <v>38.627651919999998</v>
      </c>
      <c r="E19" s="4">
        <v>0</v>
      </c>
      <c r="F19" s="3">
        <v>0.80969838699999996</v>
      </c>
      <c r="G19" s="4">
        <v>1.053632838</v>
      </c>
      <c r="H19" s="3">
        <v>20.512</v>
      </c>
      <c r="I19" s="4">
        <v>0</v>
      </c>
      <c r="J19" s="3">
        <v>0</v>
      </c>
      <c r="K19" s="4">
        <v>0</v>
      </c>
      <c r="L19" s="3">
        <v>18.115651920000001</v>
      </c>
      <c r="M19" s="4">
        <v>0</v>
      </c>
      <c r="N19" s="12">
        <v>0.53979892490047465</v>
      </c>
      <c r="O19" s="13">
        <v>0</v>
      </c>
      <c r="P19" s="3">
        <v>0</v>
      </c>
      <c r="Q19" s="4">
        <v>0</v>
      </c>
      <c r="R19" s="6">
        <v>0</v>
      </c>
      <c r="S19" s="4">
        <v>0</v>
      </c>
      <c r="T19" s="3">
        <v>0</v>
      </c>
      <c r="U19" s="4">
        <v>0</v>
      </c>
      <c r="V19" s="3">
        <v>0</v>
      </c>
      <c r="W19" s="4">
        <v>0</v>
      </c>
      <c r="X19" s="3">
        <v>0</v>
      </c>
      <c r="Y19" s="4">
        <v>0</v>
      </c>
      <c r="Z19" s="6">
        <v>0</v>
      </c>
      <c r="AA19" s="4">
        <v>0</v>
      </c>
      <c r="AB19" s="6">
        <v>7.5144508670520231</v>
      </c>
      <c r="AC19" s="4">
        <v>2.8901734104046244</v>
      </c>
    </row>
    <row r="20" spans="1:29" x14ac:dyDescent="0.2">
      <c r="A20" s="1">
        <f t="shared" si="0"/>
        <v>18</v>
      </c>
      <c r="B20" s="2">
        <v>20.58953503</v>
      </c>
      <c r="C20" s="4">
        <v>1.3172659410000001</v>
      </c>
      <c r="D20" s="3">
        <v>20.132000000000001</v>
      </c>
      <c r="E20" s="4">
        <v>0</v>
      </c>
      <c r="F20" s="3">
        <v>0.45753503000000001</v>
      </c>
      <c r="G20" s="4">
        <v>1.3172659410000001</v>
      </c>
      <c r="H20" s="3">
        <v>20.132000000000001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2">
        <v>0</v>
      </c>
      <c r="O20" s="13">
        <v>0</v>
      </c>
      <c r="P20" s="3">
        <v>0</v>
      </c>
      <c r="Q20" s="4">
        <v>0.439088647</v>
      </c>
      <c r="R20" s="6">
        <v>0</v>
      </c>
      <c r="S20" s="4">
        <v>0</v>
      </c>
      <c r="T20" s="3">
        <v>0</v>
      </c>
      <c r="U20" s="4">
        <v>0</v>
      </c>
      <c r="V20" s="3">
        <v>0</v>
      </c>
      <c r="W20" s="4">
        <v>0</v>
      </c>
      <c r="X20" s="3">
        <v>0</v>
      </c>
      <c r="Y20" s="4">
        <v>0.439088647</v>
      </c>
      <c r="Z20" s="6">
        <v>0</v>
      </c>
      <c r="AA20" s="4">
        <v>0.21954432355954501</v>
      </c>
      <c r="AB20" s="6">
        <v>5.1282051282051286</v>
      </c>
      <c r="AC20" s="4">
        <v>3.0150753768844223</v>
      </c>
    </row>
    <row r="21" spans="1:29" x14ac:dyDescent="0.2">
      <c r="A21" s="1">
        <f t="shared" si="0"/>
        <v>19</v>
      </c>
      <c r="B21" s="2">
        <v>48.1999712</v>
      </c>
      <c r="C21" s="4">
        <v>0.47358762399999998</v>
      </c>
      <c r="D21" s="3">
        <v>47.246644490000001</v>
      </c>
      <c r="E21" s="4">
        <v>0</v>
      </c>
      <c r="F21" s="3">
        <v>0.95332671300000005</v>
      </c>
      <c r="G21" s="4">
        <v>0.47358762399999998</v>
      </c>
      <c r="H21" s="3">
        <v>15.253</v>
      </c>
      <c r="I21" s="4">
        <v>0</v>
      </c>
      <c r="J21" s="3">
        <v>0</v>
      </c>
      <c r="K21" s="4">
        <v>0</v>
      </c>
      <c r="L21" s="3">
        <v>31.993644490000001</v>
      </c>
      <c r="M21" s="4">
        <v>0</v>
      </c>
      <c r="N21" s="12">
        <v>0.95332671300893734</v>
      </c>
      <c r="O21" s="13">
        <v>0</v>
      </c>
      <c r="P21" s="3">
        <v>0</v>
      </c>
      <c r="Q21" s="4">
        <v>0.47358762399999998</v>
      </c>
      <c r="R21" s="6">
        <v>0</v>
      </c>
      <c r="S21" s="4">
        <v>0.47358762357677053</v>
      </c>
      <c r="T21" s="3">
        <v>0</v>
      </c>
      <c r="U21" s="4">
        <v>0</v>
      </c>
      <c r="V21" s="3">
        <v>0</v>
      </c>
      <c r="W21" s="4">
        <v>0.47358762399999998</v>
      </c>
      <c r="X21" s="3">
        <v>0</v>
      </c>
      <c r="Y21" s="4">
        <v>0</v>
      </c>
      <c r="Z21" s="6">
        <v>0</v>
      </c>
      <c r="AA21" s="4">
        <v>2.3679381178838526</v>
      </c>
      <c r="AB21" s="6">
        <v>11.052631578947368</v>
      </c>
      <c r="AC21" s="4">
        <v>2.1390374331550799</v>
      </c>
    </row>
    <row r="22" spans="1:29" x14ac:dyDescent="0.2">
      <c r="A22" s="1">
        <f t="shared" si="0"/>
        <v>20</v>
      </c>
      <c r="B22" s="2">
        <v>20.09895547</v>
      </c>
      <c r="C22" s="4">
        <v>1.0221827859999999</v>
      </c>
      <c r="D22" s="3">
        <v>18.44969764</v>
      </c>
      <c r="E22" s="4">
        <v>0</v>
      </c>
      <c r="F22" s="3">
        <v>1.6492578339999999</v>
      </c>
      <c r="G22" s="4">
        <v>1.0221827859999999</v>
      </c>
      <c r="H22" s="3">
        <v>0</v>
      </c>
      <c r="I22" s="4">
        <v>0</v>
      </c>
      <c r="J22" s="3">
        <v>0</v>
      </c>
      <c r="K22" s="4">
        <v>0</v>
      </c>
      <c r="L22" s="3">
        <v>18.44969764</v>
      </c>
      <c r="M22" s="4">
        <v>0</v>
      </c>
      <c r="N22" s="12">
        <v>0.54975261132490383</v>
      </c>
      <c r="O22" s="13">
        <v>0</v>
      </c>
      <c r="P22" s="3">
        <v>1.6492578339999999</v>
      </c>
      <c r="Q22" s="4">
        <v>0</v>
      </c>
      <c r="R22" s="6">
        <v>1.3743815283122596</v>
      </c>
      <c r="S22" s="4">
        <v>0</v>
      </c>
      <c r="T22" s="3">
        <v>0</v>
      </c>
      <c r="U22" s="4">
        <v>0</v>
      </c>
      <c r="V22" s="3">
        <v>1.374381528</v>
      </c>
      <c r="W22" s="4">
        <v>0</v>
      </c>
      <c r="X22" s="3">
        <v>0.27487630600000001</v>
      </c>
      <c r="Y22" s="4">
        <v>0</v>
      </c>
      <c r="Z22" s="6">
        <v>7.0643210555250135</v>
      </c>
      <c r="AA22" s="4">
        <v>0</v>
      </c>
      <c r="AB22" s="6">
        <v>6.5359477124183005</v>
      </c>
      <c r="AC22" s="4">
        <v>3.1055900621118009</v>
      </c>
    </row>
    <row r="23" spans="1:29" x14ac:dyDescent="0.2">
      <c r="A23" s="1">
        <f t="shared" si="0"/>
        <v>21</v>
      </c>
      <c r="B23" s="2">
        <v>22.78166251</v>
      </c>
      <c r="C23" s="4">
        <v>3.0849290310000002</v>
      </c>
      <c r="D23" s="3">
        <v>7.7789999999999999</v>
      </c>
      <c r="E23" s="4">
        <v>0</v>
      </c>
      <c r="F23" s="3">
        <v>15.00266251</v>
      </c>
      <c r="G23" s="4">
        <v>3.0849290310000002</v>
      </c>
      <c r="H23" s="3">
        <v>7.7789999999999999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2">
        <v>0</v>
      </c>
      <c r="O23" s="13">
        <v>0</v>
      </c>
      <c r="P23" s="3">
        <v>4.4451999999999998</v>
      </c>
      <c r="Q23" s="4">
        <v>0.56089999999999995</v>
      </c>
      <c r="R23" s="6">
        <v>4.4451999999999998</v>
      </c>
      <c r="S23" s="4">
        <v>0.56090000000000007</v>
      </c>
      <c r="T23" s="3">
        <v>4.4451999999999998</v>
      </c>
      <c r="U23" s="4">
        <v>0.56089999999999995</v>
      </c>
      <c r="V23" s="3">
        <v>0</v>
      </c>
      <c r="W23" s="4">
        <v>0</v>
      </c>
      <c r="X23" s="3">
        <v>0</v>
      </c>
      <c r="Y23" s="4">
        <v>0</v>
      </c>
      <c r="Z23" s="6">
        <v>13.335700008489159</v>
      </c>
      <c r="AA23" s="4">
        <v>1.6826885623919108</v>
      </c>
      <c r="AB23" s="6">
        <v>18.497109826589597</v>
      </c>
      <c r="AC23" s="4">
        <v>4.6242774566473992</v>
      </c>
    </row>
    <row r="24" spans="1:29" x14ac:dyDescent="0.2">
      <c r="A24" s="1">
        <f t="shared" si="0"/>
        <v>22</v>
      </c>
      <c r="B24" s="2">
        <v>6.5681970820000002</v>
      </c>
      <c r="C24" s="4">
        <v>1.4245014250000001</v>
      </c>
      <c r="D24" s="3">
        <v>3.2839999999999998</v>
      </c>
      <c r="E24" s="4">
        <v>0</v>
      </c>
      <c r="F24" s="3">
        <v>3.2841970819999999</v>
      </c>
      <c r="G24" s="4">
        <v>1.4245014250000001</v>
      </c>
      <c r="H24" s="3">
        <v>3.2839999999999998</v>
      </c>
      <c r="I24" s="4">
        <v>0</v>
      </c>
      <c r="J24" s="3">
        <v>0</v>
      </c>
      <c r="K24" s="4">
        <v>0</v>
      </c>
      <c r="L24" s="3">
        <v>0</v>
      </c>
      <c r="M24" s="4">
        <v>0</v>
      </c>
      <c r="N24" s="12">
        <v>0</v>
      </c>
      <c r="O24" s="13">
        <v>0</v>
      </c>
      <c r="P24" s="3">
        <v>0.82099999999999995</v>
      </c>
      <c r="Q24" s="4">
        <v>8.5470085470000008</v>
      </c>
      <c r="R24" s="6">
        <v>0.82099999999999995</v>
      </c>
      <c r="S24" s="4">
        <v>0.56979999999999997</v>
      </c>
      <c r="T24" s="3">
        <v>0.82099999999999995</v>
      </c>
      <c r="U24" s="4">
        <v>0.56979999999999997</v>
      </c>
      <c r="V24" s="3">
        <v>0</v>
      </c>
      <c r="W24" s="4">
        <v>0</v>
      </c>
      <c r="X24" s="3">
        <v>0</v>
      </c>
      <c r="Y24" s="4">
        <v>7.977208547</v>
      </c>
      <c r="Z24" s="6">
        <v>0.9852591246702499</v>
      </c>
      <c r="AA24" s="4">
        <v>6.3247863247863254</v>
      </c>
      <c r="AB24" s="6">
        <v>4.0201005025125625</v>
      </c>
      <c r="AC24" s="4">
        <v>5.1282051282051286</v>
      </c>
    </row>
    <row r="25" spans="1:29" x14ac:dyDescent="0.2">
      <c r="A25" s="1">
        <f t="shared" si="0"/>
        <v>23</v>
      </c>
      <c r="B25" s="2">
        <v>0.56956618000000003</v>
      </c>
      <c r="C25" s="4">
        <v>0</v>
      </c>
      <c r="D25" s="3">
        <v>0</v>
      </c>
      <c r="E25" s="4">
        <v>0</v>
      </c>
      <c r="F25" s="3">
        <v>0.56956618000000003</v>
      </c>
      <c r="G25" s="4">
        <v>0</v>
      </c>
      <c r="H25" s="3">
        <v>0</v>
      </c>
      <c r="I25" s="4">
        <v>0</v>
      </c>
      <c r="J25" s="3">
        <v>0</v>
      </c>
      <c r="K25" s="4">
        <v>0</v>
      </c>
      <c r="L25" s="3">
        <v>0</v>
      </c>
      <c r="M25" s="4">
        <v>0</v>
      </c>
      <c r="N25" s="12">
        <v>0</v>
      </c>
      <c r="O25" s="13">
        <v>0</v>
      </c>
      <c r="P25" s="3">
        <v>7.1195772550000003</v>
      </c>
      <c r="Q25" s="4">
        <v>4.8364153630000004</v>
      </c>
      <c r="R25" s="6">
        <v>3.4174000000000002</v>
      </c>
      <c r="S25" s="4">
        <v>3.6983999999999999</v>
      </c>
      <c r="T25" s="3">
        <v>3.4174000000000002</v>
      </c>
      <c r="U25" s="4">
        <v>3.6983999999999999</v>
      </c>
      <c r="V25" s="3">
        <v>0</v>
      </c>
      <c r="W25" s="4">
        <v>0</v>
      </c>
      <c r="X25" s="3">
        <v>3.7021772550000001</v>
      </c>
      <c r="Y25" s="4">
        <v>1.1380153630000001</v>
      </c>
      <c r="Z25" s="6">
        <v>13.726544948264404</v>
      </c>
      <c r="AA25" s="4">
        <v>12.460881934566144</v>
      </c>
      <c r="AB25" s="6">
        <v>3.2085561497326203</v>
      </c>
      <c r="AC25" s="4">
        <v>2.1052631578947367</v>
      </c>
    </row>
    <row r="26" spans="1:29" x14ac:dyDescent="0.2">
      <c r="A26" s="1">
        <f t="shared" si="0"/>
        <v>24</v>
      </c>
      <c r="B26" s="2">
        <v>0.326904217</v>
      </c>
      <c r="C26" s="4">
        <v>1.7377704410000001</v>
      </c>
      <c r="D26" s="3">
        <v>0</v>
      </c>
      <c r="E26" s="4">
        <v>0</v>
      </c>
      <c r="F26" s="3">
        <v>0.326904217</v>
      </c>
      <c r="G26" s="4">
        <v>1.7377704410000001</v>
      </c>
      <c r="H26" s="3">
        <v>0</v>
      </c>
      <c r="I26" s="4">
        <v>0</v>
      </c>
      <c r="J26" s="3">
        <v>0</v>
      </c>
      <c r="K26" s="4">
        <v>0</v>
      </c>
      <c r="L26" s="3">
        <v>0</v>
      </c>
      <c r="M26" s="4">
        <v>0</v>
      </c>
      <c r="N26" s="12">
        <v>0</v>
      </c>
      <c r="O26" s="13">
        <v>0</v>
      </c>
      <c r="P26" s="3">
        <v>0.98071265100000005</v>
      </c>
      <c r="Q26" s="4">
        <v>0</v>
      </c>
      <c r="R26" s="6">
        <v>0</v>
      </c>
      <c r="S26" s="4">
        <v>0</v>
      </c>
      <c r="T26" s="3">
        <v>0</v>
      </c>
      <c r="U26" s="4">
        <v>0</v>
      </c>
      <c r="V26" s="3">
        <v>0</v>
      </c>
      <c r="W26" s="4">
        <v>0</v>
      </c>
      <c r="X26" s="3">
        <v>0.98099999999999998</v>
      </c>
      <c r="Y26" s="4">
        <v>0</v>
      </c>
      <c r="Z26" s="6">
        <v>1.1768551814318404</v>
      </c>
      <c r="AA26" s="4">
        <v>0</v>
      </c>
      <c r="AB26" s="6">
        <v>2.4844720496894408</v>
      </c>
      <c r="AC26" s="4">
        <v>2.6143790849673203</v>
      </c>
    </row>
    <row r="27" spans="1:29" x14ac:dyDescent="0.2">
      <c r="A27" s="1">
        <f t="shared" si="0"/>
        <v>25</v>
      </c>
      <c r="B27" s="2">
        <v>10.192285010000001</v>
      </c>
      <c r="C27" s="4">
        <v>9.8440597630000006</v>
      </c>
      <c r="D27" s="3">
        <v>0</v>
      </c>
      <c r="E27" s="4">
        <v>0</v>
      </c>
      <c r="F27" s="3">
        <v>10.192285010000001</v>
      </c>
      <c r="G27" s="4">
        <v>9.8440597630000006</v>
      </c>
      <c r="H27" s="3">
        <v>0</v>
      </c>
      <c r="I27" s="4">
        <v>0</v>
      </c>
      <c r="J27" s="3">
        <v>0</v>
      </c>
      <c r="K27" s="4">
        <v>0</v>
      </c>
      <c r="L27" s="3">
        <v>0</v>
      </c>
      <c r="M27" s="4">
        <v>0</v>
      </c>
      <c r="N27" s="12">
        <v>0</v>
      </c>
      <c r="O27" s="13">
        <v>0</v>
      </c>
      <c r="P27" s="3">
        <v>5.3792999999999997</v>
      </c>
      <c r="Q27" s="4">
        <v>10.11750587</v>
      </c>
      <c r="R27" s="6">
        <v>5.3792999999999997</v>
      </c>
      <c r="S27" s="4">
        <v>10.117500000000001</v>
      </c>
      <c r="T27" s="3">
        <v>5.3792999999999997</v>
      </c>
      <c r="U27" s="4">
        <v>10.1175</v>
      </c>
      <c r="V27" s="3">
        <v>0</v>
      </c>
      <c r="W27" s="4">
        <v>0</v>
      </c>
      <c r="X27" s="3">
        <v>0</v>
      </c>
      <c r="Y27" s="4">
        <v>5.8699999999999997E-6</v>
      </c>
      <c r="Z27" s="6">
        <v>16.137784593606231</v>
      </c>
      <c r="AA27" s="4">
        <v>30.352517603092977</v>
      </c>
      <c r="AB27" s="6">
        <v>12.716763005780347</v>
      </c>
      <c r="AC27" s="4">
        <v>7.5144508670520231</v>
      </c>
    </row>
    <row r="28" spans="1:29" x14ac:dyDescent="0.2">
      <c r="A28" s="1">
        <f t="shared" si="0"/>
        <v>26</v>
      </c>
      <c r="B28" s="2">
        <v>4.0911996589999999</v>
      </c>
      <c r="C28" s="4">
        <v>13.4180838</v>
      </c>
      <c r="D28" s="3">
        <v>0</v>
      </c>
      <c r="E28" s="4">
        <v>0</v>
      </c>
      <c r="F28" s="3">
        <v>4.0911996589999999</v>
      </c>
      <c r="G28" s="4">
        <v>13.4180838</v>
      </c>
      <c r="H28" s="3">
        <v>0</v>
      </c>
      <c r="I28" s="4">
        <v>0</v>
      </c>
      <c r="J28" s="3">
        <v>0</v>
      </c>
      <c r="K28" s="4">
        <v>0</v>
      </c>
      <c r="L28" s="3">
        <v>0</v>
      </c>
      <c r="M28" s="4">
        <v>0</v>
      </c>
      <c r="N28" s="12">
        <v>0</v>
      </c>
      <c r="O28" s="13">
        <v>0</v>
      </c>
      <c r="P28" s="3">
        <v>2.3012999999999999</v>
      </c>
      <c r="Q28" s="4">
        <v>13.8973</v>
      </c>
      <c r="R28" s="6">
        <v>2.3012999999999999</v>
      </c>
      <c r="S28" s="4">
        <v>13.8973</v>
      </c>
      <c r="T28" s="3">
        <v>2.3012999999999999</v>
      </c>
      <c r="U28" s="4">
        <v>13.8973</v>
      </c>
      <c r="V28" s="3">
        <v>0</v>
      </c>
      <c r="W28" s="4">
        <v>0</v>
      </c>
      <c r="X28" s="3">
        <v>0</v>
      </c>
      <c r="Y28" s="4">
        <v>0</v>
      </c>
      <c r="Z28" s="6">
        <v>6.903899424675048</v>
      </c>
      <c r="AA28" s="4">
        <v>41.691903224732933</v>
      </c>
      <c r="AB28" s="6">
        <v>8.2051282051282062</v>
      </c>
      <c r="AC28" s="4">
        <v>8.5427135678391952</v>
      </c>
    </row>
    <row r="29" spans="1:29" x14ac:dyDescent="0.2">
      <c r="A29" s="1">
        <f t="shared" si="0"/>
        <v>27</v>
      </c>
      <c r="B29" s="2">
        <v>74.693962240000005</v>
      </c>
      <c r="C29" s="4">
        <v>14.584346139999999</v>
      </c>
      <c r="D29" s="3">
        <v>0</v>
      </c>
      <c r="E29" s="4">
        <v>0</v>
      </c>
      <c r="F29" s="3">
        <v>74.693962240000005</v>
      </c>
      <c r="G29" s="4">
        <v>14.584346139999999</v>
      </c>
      <c r="H29" s="3">
        <v>0</v>
      </c>
      <c r="I29" s="4">
        <v>0</v>
      </c>
      <c r="J29" s="3">
        <v>0</v>
      </c>
      <c r="K29" s="4">
        <v>0</v>
      </c>
      <c r="L29" s="3">
        <v>0</v>
      </c>
      <c r="M29" s="4">
        <v>0</v>
      </c>
      <c r="N29" s="12">
        <v>0</v>
      </c>
      <c r="O29" s="13">
        <v>0</v>
      </c>
      <c r="P29" s="3">
        <v>27.63676603</v>
      </c>
      <c r="Q29" s="4">
        <v>12.882839089999999</v>
      </c>
      <c r="R29" s="6">
        <v>13.942839622380525</v>
      </c>
      <c r="S29" s="4">
        <v>7.0490519202722401</v>
      </c>
      <c r="T29" s="3">
        <v>13.1959</v>
      </c>
      <c r="U29" s="4">
        <v>4.8613999999999997</v>
      </c>
      <c r="V29" s="3">
        <v>0.74693962199999997</v>
      </c>
      <c r="W29" s="4">
        <v>2.18765192</v>
      </c>
      <c r="X29" s="3">
        <v>13.69392641</v>
      </c>
      <c r="Y29" s="4">
        <v>5.8337871699999999</v>
      </c>
      <c r="Z29" s="6">
        <v>54.217857389860988</v>
      </c>
      <c r="AA29" s="4">
        <v>34.175984443364115</v>
      </c>
      <c r="AB29" s="6">
        <v>41.05263157894737</v>
      </c>
      <c r="AC29" s="4">
        <v>13.90374331550802</v>
      </c>
    </row>
    <row r="30" spans="1:29" x14ac:dyDescent="0.2">
      <c r="A30" s="1">
        <f t="shared" si="0"/>
        <v>28</v>
      </c>
      <c r="B30" s="2">
        <v>25.856372329999999</v>
      </c>
      <c r="C30" s="4">
        <v>14.34099704</v>
      </c>
      <c r="D30" s="3">
        <v>6.4640000000000004</v>
      </c>
      <c r="E30" s="4">
        <v>0</v>
      </c>
      <c r="F30" s="3">
        <v>19.392372330000001</v>
      </c>
      <c r="G30" s="4">
        <v>14.34099704</v>
      </c>
      <c r="H30" s="3">
        <v>6.4640000000000004</v>
      </c>
      <c r="I30" s="4">
        <v>0</v>
      </c>
      <c r="J30" s="3">
        <v>0</v>
      </c>
      <c r="K30" s="4">
        <v>0</v>
      </c>
      <c r="L30" s="3">
        <v>0</v>
      </c>
      <c r="M30" s="4">
        <v>0</v>
      </c>
      <c r="N30" s="12">
        <v>0</v>
      </c>
      <c r="O30" s="13">
        <v>0</v>
      </c>
      <c r="P30" s="3">
        <v>12.28178688</v>
      </c>
      <c r="Q30" s="4">
        <v>12.2923075</v>
      </c>
      <c r="R30" s="6">
        <v>12.281786877828054</v>
      </c>
      <c r="S30" s="4">
        <v>12.292307498943122</v>
      </c>
      <c r="T30" s="3">
        <v>7.7568999999999999</v>
      </c>
      <c r="U30" s="4">
        <v>9.0729000000000006</v>
      </c>
      <c r="V30" s="3">
        <v>4.5248868780000002</v>
      </c>
      <c r="W30" s="4">
        <v>3.2194074989999999</v>
      </c>
      <c r="X30" s="3">
        <v>0</v>
      </c>
      <c r="Y30" s="4">
        <v>0</v>
      </c>
      <c r="Z30" s="6">
        <v>44.602456367162254</v>
      </c>
      <c r="AA30" s="4">
        <v>43.315664531234752</v>
      </c>
      <c r="AB30" s="6">
        <v>20.261437908496731</v>
      </c>
      <c r="AC30" s="4">
        <v>13.043478260869565</v>
      </c>
    </row>
  </sheetData>
  <mergeCells count="14">
    <mergeCell ref="L1:M1"/>
    <mergeCell ref="B1:C1"/>
    <mergeCell ref="D1:E1"/>
    <mergeCell ref="F1:G1"/>
    <mergeCell ref="H1:I1"/>
    <mergeCell ref="J1:K1"/>
    <mergeCell ref="N1:O1"/>
    <mergeCell ref="R1:S1"/>
    <mergeCell ref="AB1:AC1"/>
    <mergeCell ref="P1:Q1"/>
    <mergeCell ref="T1:U1"/>
    <mergeCell ref="V1:W1"/>
    <mergeCell ref="X1:Y1"/>
    <mergeCell ref="Z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6CE1-71E2-4E4E-92A4-0806DE3A6D16}">
  <dimension ref="A1:AD33"/>
  <sheetViews>
    <sheetView zoomScaleNormal="100" workbookViewId="0">
      <selection activeCell="F35" sqref="F35"/>
    </sheetView>
  </sheetViews>
  <sheetFormatPr baseColWidth="10" defaultColWidth="11" defaultRowHeight="16" x14ac:dyDescent="0.2"/>
  <cols>
    <col min="1" max="1" width="10.33203125" customWidth="1"/>
    <col min="3" max="3" width="11.5" customWidth="1"/>
    <col min="8" max="8" width="12.6640625" customWidth="1"/>
    <col min="9" max="9" width="10.5" customWidth="1"/>
    <col min="13" max="13" width="11" style="11"/>
    <col min="14" max="14" width="11" style="10"/>
    <col min="18" max="18" width="11" style="10"/>
    <col min="26" max="26" width="10.6640625" customWidth="1"/>
    <col min="27" max="27" width="10.33203125" customWidth="1"/>
  </cols>
  <sheetData>
    <row r="1" spans="1:30" ht="31" customHeight="1" thickBot="1" x14ac:dyDescent="0.25">
      <c r="B1" s="34" t="s">
        <v>27</v>
      </c>
      <c r="C1" s="35"/>
      <c r="D1" s="34" t="s">
        <v>28</v>
      </c>
      <c r="E1" s="38"/>
      <c r="F1" s="34" t="s">
        <v>33</v>
      </c>
      <c r="G1" s="38"/>
      <c r="H1" s="34" t="s">
        <v>29</v>
      </c>
      <c r="I1" s="38"/>
      <c r="J1" s="34" t="s">
        <v>30</v>
      </c>
      <c r="K1" s="38"/>
      <c r="L1" s="34" t="s">
        <v>31</v>
      </c>
      <c r="M1" s="38"/>
      <c r="N1" s="34" t="s">
        <v>32</v>
      </c>
      <c r="O1" s="35"/>
      <c r="P1" s="34" t="s">
        <v>17</v>
      </c>
      <c r="Q1" s="35"/>
      <c r="R1" s="36" t="s">
        <v>18</v>
      </c>
      <c r="S1" s="37"/>
      <c r="T1" s="34" t="s">
        <v>19</v>
      </c>
      <c r="U1" s="38"/>
      <c r="V1" s="34" t="s">
        <v>20</v>
      </c>
      <c r="W1" s="35"/>
      <c r="X1" s="34" t="s">
        <v>21</v>
      </c>
      <c r="Y1" s="35"/>
      <c r="Z1" s="34" t="s">
        <v>16</v>
      </c>
      <c r="AA1" s="35"/>
    </row>
    <row r="2" spans="1:30" ht="17" thickBot="1" x14ac:dyDescent="0.25">
      <c r="A2" s="15" t="s">
        <v>8</v>
      </c>
      <c r="B2" s="7" t="s">
        <v>0</v>
      </c>
      <c r="C2" s="8" t="s">
        <v>1</v>
      </c>
      <c r="D2" s="7" t="s">
        <v>0</v>
      </c>
      <c r="E2" s="8" t="s">
        <v>1</v>
      </c>
      <c r="F2" s="7" t="s">
        <v>0</v>
      </c>
      <c r="G2" s="8" t="s">
        <v>1</v>
      </c>
      <c r="H2" s="7" t="s">
        <v>0</v>
      </c>
      <c r="I2" s="8" t="s">
        <v>1</v>
      </c>
      <c r="J2" s="7" t="s">
        <v>0</v>
      </c>
      <c r="K2" s="8" t="s">
        <v>1</v>
      </c>
      <c r="L2" s="7" t="s">
        <v>0</v>
      </c>
      <c r="M2" s="9" t="s">
        <v>1</v>
      </c>
      <c r="N2" s="7" t="s">
        <v>0</v>
      </c>
      <c r="O2" s="8" t="s">
        <v>1</v>
      </c>
      <c r="P2" s="7" t="s">
        <v>0</v>
      </c>
      <c r="Q2" s="8" t="s">
        <v>1</v>
      </c>
      <c r="R2" s="7" t="s">
        <v>0</v>
      </c>
      <c r="S2" s="8" t="s">
        <v>1</v>
      </c>
      <c r="T2" s="7" t="s">
        <v>0</v>
      </c>
      <c r="U2" s="9" t="s">
        <v>1</v>
      </c>
      <c r="V2" s="7" t="s">
        <v>0</v>
      </c>
      <c r="W2" s="8" t="s">
        <v>1</v>
      </c>
      <c r="X2" s="7" t="s">
        <v>0</v>
      </c>
      <c r="Y2" s="8" t="s">
        <v>1</v>
      </c>
      <c r="Z2" s="7" t="s">
        <v>0</v>
      </c>
      <c r="AA2" s="8" t="s">
        <v>1</v>
      </c>
      <c r="AD2" s="40"/>
    </row>
    <row r="3" spans="1:30" x14ac:dyDescent="0.2">
      <c r="A3" s="1">
        <v>1</v>
      </c>
      <c r="B3" s="32">
        <v>8</v>
      </c>
      <c r="C3" s="33">
        <v>9</v>
      </c>
      <c r="D3" s="44">
        <v>0</v>
      </c>
      <c r="E3" s="33">
        <f>I3+K3+M3</f>
        <v>0</v>
      </c>
      <c r="F3" s="44">
        <v>8</v>
      </c>
      <c r="G3" s="33">
        <v>9</v>
      </c>
      <c r="H3" s="44">
        <v>0</v>
      </c>
      <c r="I3" s="33">
        <v>0</v>
      </c>
      <c r="J3" s="44">
        <v>0</v>
      </c>
      <c r="K3" s="33">
        <v>0</v>
      </c>
      <c r="L3" s="44">
        <v>0</v>
      </c>
      <c r="M3" s="33">
        <v>0</v>
      </c>
      <c r="N3" s="48">
        <v>0</v>
      </c>
      <c r="O3" s="49">
        <v>0</v>
      </c>
      <c r="P3" s="44">
        <v>0</v>
      </c>
      <c r="Q3" s="33">
        <v>2</v>
      </c>
      <c r="R3" s="45">
        <f>T3+V3</f>
        <v>0</v>
      </c>
      <c r="S3" s="33">
        <f>U3+W3</f>
        <v>0</v>
      </c>
      <c r="T3" s="44">
        <v>0</v>
      </c>
      <c r="U3" s="33">
        <v>0</v>
      </c>
      <c r="V3" s="44">
        <v>0</v>
      </c>
      <c r="W3" s="33">
        <v>0</v>
      </c>
      <c r="X3" s="44">
        <v>0</v>
      </c>
      <c r="Y3" s="33">
        <v>2</v>
      </c>
      <c r="Z3" s="46">
        <v>0</v>
      </c>
      <c r="AA3" s="47">
        <v>4</v>
      </c>
    </row>
    <row r="4" spans="1:30" x14ac:dyDescent="0.2">
      <c r="A4" s="1">
        <f>A3+1</f>
        <v>2</v>
      </c>
      <c r="B4" s="32">
        <v>20</v>
      </c>
      <c r="C4" s="33">
        <v>8</v>
      </c>
      <c r="D4" s="44">
        <v>8.0000212499999996</v>
      </c>
      <c r="E4" s="33">
        <f t="shared" ref="E4:E30" si="0">I4+K4+M4</f>
        <v>0</v>
      </c>
      <c r="F4" s="44">
        <v>12</v>
      </c>
      <c r="G4" s="33">
        <v>8</v>
      </c>
      <c r="H4" s="44">
        <v>8.0000212499999996</v>
      </c>
      <c r="I4" s="33">
        <v>0</v>
      </c>
      <c r="J4" s="44">
        <v>0</v>
      </c>
      <c r="K4" s="33">
        <v>0</v>
      </c>
      <c r="L4" s="44">
        <v>0</v>
      </c>
      <c r="M4" s="33">
        <v>0</v>
      </c>
      <c r="N4" s="48">
        <v>0</v>
      </c>
      <c r="O4" s="49">
        <v>0</v>
      </c>
      <c r="P4" s="44">
        <v>0</v>
      </c>
      <c r="Q4" s="33">
        <v>0</v>
      </c>
      <c r="R4" s="45">
        <f t="shared" ref="R4:R30" si="1">T4+V4</f>
        <v>0</v>
      </c>
      <c r="S4" s="33">
        <f t="shared" ref="S4:S30" si="2">U4+W4</f>
        <v>0</v>
      </c>
      <c r="T4" s="44">
        <v>0</v>
      </c>
      <c r="U4" s="33">
        <v>0</v>
      </c>
      <c r="V4" s="44">
        <v>0</v>
      </c>
      <c r="W4" s="33">
        <v>0</v>
      </c>
      <c r="X4" s="44">
        <v>0</v>
      </c>
      <c r="Y4" s="33">
        <v>0</v>
      </c>
      <c r="Z4" s="46">
        <v>0</v>
      </c>
      <c r="AA4" s="47">
        <v>0</v>
      </c>
    </row>
    <row r="5" spans="1:30" x14ac:dyDescent="0.2">
      <c r="A5" s="1">
        <f t="shared" ref="A5:A30" si="3">A4+1</f>
        <v>3</v>
      </c>
      <c r="B5" s="32">
        <v>116.12</v>
      </c>
      <c r="C5" s="33">
        <v>8</v>
      </c>
      <c r="D5" s="44">
        <v>104.12</v>
      </c>
      <c r="E5" s="33">
        <f t="shared" si="0"/>
        <v>0</v>
      </c>
      <c r="F5" s="44">
        <v>12</v>
      </c>
      <c r="G5" s="33">
        <v>8</v>
      </c>
      <c r="H5" s="44">
        <v>0</v>
      </c>
      <c r="I5" s="33">
        <v>0</v>
      </c>
      <c r="J5" s="44">
        <v>0</v>
      </c>
      <c r="K5" s="33">
        <v>0</v>
      </c>
      <c r="L5" s="44">
        <v>104.12</v>
      </c>
      <c r="M5" s="33">
        <v>0</v>
      </c>
      <c r="N5" s="48">
        <v>3</v>
      </c>
      <c r="O5" s="49">
        <v>0</v>
      </c>
      <c r="P5" s="44">
        <v>0</v>
      </c>
      <c r="Q5" s="33">
        <v>0</v>
      </c>
      <c r="R5" s="45">
        <f t="shared" si="1"/>
        <v>0</v>
      </c>
      <c r="S5" s="33">
        <f t="shared" si="2"/>
        <v>0</v>
      </c>
      <c r="T5" s="44">
        <v>0</v>
      </c>
      <c r="U5" s="33">
        <v>0</v>
      </c>
      <c r="V5" s="44">
        <v>0</v>
      </c>
      <c r="W5" s="33">
        <v>0</v>
      </c>
      <c r="X5" s="44">
        <v>0</v>
      </c>
      <c r="Y5" s="33">
        <v>0</v>
      </c>
      <c r="Z5" s="46">
        <v>0</v>
      </c>
      <c r="AA5" s="47">
        <v>0</v>
      </c>
    </row>
    <row r="6" spans="1:30" x14ac:dyDescent="0.2">
      <c r="A6" s="1">
        <f t="shared" si="3"/>
        <v>4</v>
      </c>
      <c r="B6" s="32">
        <v>49.56</v>
      </c>
      <c r="C6" s="33">
        <v>28.2</v>
      </c>
      <c r="D6" s="44">
        <v>33.56</v>
      </c>
      <c r="E6" s="33">
        <f t="shared" si="0"/>
        <v>20.2</v>
      </c>
      <c r="F6" s="44">
        <v>16</v>
      </c>
      <c r="G6" s="33">
        <v>8</v>
      </c>
      <c r="H6" s="44">
        <v>0</v>
      </c>
      <c r="I6" s="33">
        <v>0</v>
      </c>
      <c r="J6" s="44">
        <v>0</v>
      </c>
      <c r="K6" s="33">
        <v>0</v>
      </c>
      <c r="L6" s="44">
        <v>33.56</v>
      </c>
      <c r="M6" s="33">
        <v>20.2</v>
      </c>
      <c r="N6" s="48">
        <v>1</v>
      </c>
      <c r="O6" s="49">
        <v>1</v>
      </c>
      <c r="P6" s="44">
        <v>0</v>
      </c>
      <c r="Q6" s="33">
        <v>0</v>
      </c>
      <c r="R6" s="45">
        <f t="shared" si="1"/>
        <v>0</v>
      </c>
      <c r="S6" s="33">
        <f t="shared" si="2"/>
        <v>0</v>
      </c>
      <c r="T6" s="44">
        <v>0</v>
      </c>
      <c r="U6" s="33">
        <v>0</v>
      </c>
      <c r="V6" s="44">
        <v>0</v>
      </c>
      <c r="W6" s="33">
        <v>0</v>
      </c>
      <c r="X6" s="44">
        <v>0</v>
      </c>
      <c r="Y6" s="33">
        <v>0</v>
      </c>
      <c r="Z6" s="46">
        <v>0</v>
      </c>
      <c r="AA6" s="47">
        <v>0</v>
      </c>
    </row>
    <row r="7" spans="1:30" x14ac:dyDescent="0.2">
      <c r="A7" s="1">
        <f t="shared" si="3"/>
        <v>5</v>
      </c>
      <c r="B7" s="32">
        <v>76</v>
      </c>
      <c r="C7" s="33">
        <v>50.000012499999997</v>
      </c>
      <c r="D7" s="44">
        <v>67.999992468055552</v>
      </c>
      <c r="E7" s="33">
        <f t="shared" si="0"/>
        <v>47.000012499999997</v>
      </c>
      <c r="F7" s="44">
        <v>8.0000075319444477</v>
      </c>
      <c r="G7" s="33">
        <v>3</v>
      </c>
      <c r="H7" s="44">
        <v>0</v>
      </c>
      <c r="I7" s="33">
        <v>7.0000124999999995</v>
      </c>
      <c r="J7" s="44">
        <v>67.999992468055552</v>
      </c>
      <c r="K7" s="33">
        <v>0</v>
      </c>
      <c r="L7" s="44">
        <v>0</v>
      </c>
      <c r="M7" s="33">
        <v>40</v>
      </c>
      <c r="N7" s="48">
        <v>0</v>
      </c>
      <c r="O7" s="49">
        <v>1</v>
      </c>
      <c r="P7" s="44">
        <v>0</v>
      </c>
      <c r="Q7" s="33">
        <v>0</v>
      </c>
      <c r="R7" s="45">
        <f t="shared" si="1"/>
        <v>0</v>
      </c>
      <c r="S7" s="33">
        <f t="shared" si="2"/>
        <v>0</v>
      </c>
      <c r="T7" s="44">
        <v>0</v>
      </c>
      <c r="U7" s="33">
        <v>0</v>
      </c>
      <c r="V7" s="44">
        <v>0</v>
      </c>
      <c r="W7" s="33">
        <v>0</v>
      </c>
      <c r="X7" s="44">
        <v>0</v>
      </c>
      <c r="Y7" s="33">
        <v>0</v>
      </c>
      <c r="Z7" s="46">
        <v>0</v>
      </c>
      <c r="AA7" s="47">
        <v>0</v>
      </c>
    </row>
    <row r="8" spans="1:30" x14ac:dyDescent="0.2">
      <c r="A8" s="1">
        <f t="shared" si="3"/>
        <v>6</v>
      </c>
      <c r="B8" s="32">
        <v>71.998999999999995</v>
      </c>
      <c r="C8" s="33">
        <v>31.99991125</v>
      </c>
      <c r="D8" s="44">
        <v>57.000031845833334</v>
      </c>
      <c r="E8" s="33">
        <f t="shared" si="0"/>
        <v>18.999990749999998</v>
      </c>
      <c r="F8" s="44">
        <v>14.999949341666667</v>
      </c>
      <c r="G8" s="33">
        <v>12.999920500000002</v>
      </c>
      <c r="H8" s="44">
        <v>50.999981187499998</v>
      </c>
      <c r="I8" s="33">
        <v>0.99991124999999992</v>
      </c>
      <c r="J8" s="44">
        <v>6.0000506583333326</v>
      </c>
      <c r="K8" s="33">
        <v>18.000079499999998</v>
      </c>
      <c r="L8" s="44">
        <v>0</v>
      </c>
      <c r="M8" s="33">
        <v>0</v>
      </c>
      <c r="N8" s="48">
        <v>0</v>
      </c>
      <c r="O8" s="49">
        <v>0</v>
      </c>
      <c r="P8" s="44">
        <v>0</v>
      </c>
      <c r="Q8" s="33">
        <v>2</v>
      </c>
      <c r="R8" s="45">
        <f t="shared" si="1"/>
        <v>0</v>
      </c>
      <c r="S8" s="33">
        <f t="shared" si="2"/>
        <v>0</v>
      </c>
      <c r="T8" s="44">
        <v>0</v>
      </c>
      <c r="U8" s="33">
        <v>0</v>
      </c>
      <c r="V8" s="44">
        <v>0</v>
      </c>
      <c r="W8" s="33">
        <v>0</v>
      </c>
      <c r="X8" s="44">
        <v>0</v>
      </c>
      <c r="Y8" s="33">
        <v>2</v>
      </c>
      <c r="Z8" s="46">
        <v>0</v>
      </c>
      <c r="AA8" s="47">
        <v>1</v>
      </c>
    </row>
    <row r="9" spans="1:30" x14ac:dyDescent="0.2">
      <c r="A9" s="1">
        <f t="shared" si="3"/>
        <v>7</v>
      </c>
      <c r="B9" s="32">
        <v>26</v>
      </c>
      <c r="C9" s="33">
        <v>44</v>
      </c>
      <c r="D9" s="44">
        <v>13.000029625000002</v>
      </c>
      <c r="E9" s="33">
        <f t="shared" si="0"/>
        <v>36</v>
      </c>
      <c r="F9" s="44">
        <v>13</v>
      </c>
      <c r="G9" s="33">
        <v>8</v>
      </c>
      <c r="H9" s="44">
        <v>13.000029625000002</v>
      </c>
      <c r="I9" s="33">
        <v>0</v>
      </c>
      <c r="J9" s="44">
        <v>0</v>
      </c>
      <c r="K9" s="33">
        <v>0</v>
      </c>
      <c r="L9" s="44">
        <v>0</v>
      </c>
      <c r="M9" s="33">
        <v>36</v>
      </c>
      <c r="N9" s="48">
        <v>0</v>
      </c>
      <c r="O9" s="49">
        <v>1</v>
      </c>
      <c r="P9" s="44">
        <v>0</v>
      </c>
      <c r="Q9" s="33">
        <v>0</v>
      </c>
      <c r="R9" s="45">
        <f t="shared" si="1"/>
        <v>0</v>
      </c>
      <c r="S9" s="33">
        <f t="shared" si="2"/>
        <v>0</v>
      </c>
      <c r="T9" s="44">
        <v>0</v>
      </c>
      <c r="U9" s="33">
        <v>0</v>
      </c>
      <c r="V9" s="44">
        <v>0</v>
      </c>
      <c r="W9" s="33">
        <v>0</v>
      </c>
      <c r="X9" s="44">
        <v>0</v>
      </c>
      <c r="Y9" s="33">
        <v>0</v>
      </c>
      <c r="Z9" s="46">
        <v>0</v>
      </c>
      <c r="AA9" s="47">
        <v>0</v>
      </c>
    </row>
    <row r="10" spans="1:30" x14ac:dyDescent="0.2">
      <c r="A10" s="1">
        <f t="shared" si="3"/>
        <v>8</v>
      </c>
      <c r="B10" s="32">
        <v>93.998999999999995</v>
      </c>
      <c r="C10" s="33">
        <v>16</v>
      </c>
      <c r="D10" s="44">
        <v>66.999944166666666</v>
      </c>
      <c r="E10" s="33">
        <f t="shared" si="0"/>
        <v>0</v>
      </c>
      <c r="F10" s="44">
        <v>27</v>
      </c>
      <c r="G10" s="33">
        <v>16</v>
      </c>
      <c r="H10" s="44">
        <v>0.99994416666666663</v>
      </c>
      <c r="I10" s="33">
        <v>0</v>
      </c>
      <c r="J10" s="44">
        <v>0</v>
      </c>
      <c r="K10" s="33">
        <v>0</v>
      </c>
      <c r="L10" s="44">
        <v>66</v>
      </c>
      <c r="M10" s="33">
        <v>0</v>
      </c>
      <c r="N10" s="48">
        <v>2</v>
      </c>
      <c r="O10" s="49">
        <v>0</v>
      </c>
      <c r="P10" s="44">
        <v>0</v>
      </c>
      <c r="Q10" s="33">
        <v>0</v>
      </c>
      <c r="R10" s="45">
        <f t="shared" si="1"/>
        <v>0</v>
      </c>
      <c r="S10" s="33">
        <f t="shared" si="2"/>
        <v>0</v>
      </c>
      <c r="T10" s="44">
        <v>0</v>
      </c>
      <c r="U10" s="33">
        <v>0</v>
      </c>
      <c r="V10" s="44">
        <v>0</v>
      </c>
      <c r="W10" s="33">
        <v>0</v>
      </c>
      <c r="X10" s="44">
        <v>0</v>
      </c>
      <c r="Y10" s="33">
        <v>0</v>
      </c>
      <c r="Z10" s="46">
        <v>0</v>
      </c>
      <c r="AA10" s="47">
        <v>0</v>
      </c>
    </row>
    <row r="11" spans="1:30" x14ac:dyDescent="0.2">
      <c r="A11" s="1">
        <f t="shared" si="3"/>
        <v>9</v>
      </c>
      <c r="B11" s="32">
        <v>58</v>
      </c>
      <c r="C11" s="33">
        <v>41.559916933333334</v>
      </c>
      <c r="D11" s="44">
        <v>41.000052104166663</v>
      </c>
      <c r="E11" s="33">
        <f t="shared" si="0"/>
        <v>39.559887966666665</v>
      </c>
      <c r="F11" s="44">
        <v>17.00003134166667</v>
      </c>
      <c r="G11" s="33">
        <v>2.0000289666666671</v>
      </c>
      <c r="H11" s="44">
        <v>1.0000834458333332</v>
      </c>
      <c r="I11" s="33">
        <v>0.9999169333333332</v>
      </c>
      <c r="J11" s="44">
        <v>39.99996865833333</v>
      </c>
      <c r="K11" s="33">
        <v>4.9999710333333329</v>
      </c>
      <c r="L11" s="44">
        <v>0</v>
      </c>
      <c r="M11" s="33">
        <v>33.56</v>
      </c>
      <c r="N11" s="48">
        <v>0</v>
      </c>
      <c r="O11" s="49">
        <v>1</v>
      </c>
      <c r="P11" s="44">
        <v>0</v>
      </c>
      <c r="Q11" s="33">
        <v>0</v>
      </c>
      <c r="R11" s="45">
        <f t="shared" si="1"/>
        <v>0</v>
      </c>
      <c r="S11" s="33">
        <f t="shared" si="2"/>
        <v>0</v>
      </c>
      <c r="T11" s="44">
        <v>0</v>
      </c>
      <c r="U11" s="33">
        <v>0</v>
      </c>
      <c r="V11" s="44">
        <v>0</v>
      </c>
      <c r="W11" s="33">
        <v>0</v>
      </c>
      <c r="X11" s="44">
        <v>0</v>
      </c>
      <c r="Y11" s="33">
        <v>0</v>
      </c>
      <c r="Z11" s="46">
        <v>0</v>
      </c>
      <c r="AA11" s="47">
        <v>0</v>
      </c>
    </row>
    <row r="12" spans="1:30" x14ac:dyDescent="0.2">
      <c r="A12" s="1">
        <f t="shared" si="3"/>
        <v>10</v>
      </c>
      <c r="B12" s="32">
        <v>105.5599</v>
      </c>
      <c r="C12" s="33">
        <v>14</v>
      </c>
      <c r="D12" s="44">
        <v>92.560061500000003</v>
      </c>
      <c r="E12" s="33">
        <f t="shared" si="0"/>
        <v>0</v>
      </c>
      <c r="F12" s="44">
        <v>12.999913999999997</v>
      </c>
      <c r="G12" s="33">
        <v>14</v>
      </c>
      <c r="H12" s="44">
        <v>4.9999754999999997</v>
      </c>
      <c r="I12" s="33">
        <v>0</v>
      </c>
      <c r="J12" s="44">
        <v>18.000086000000003</v>
      </c>
      <c r="K12" s="33">
        <v>0</v>
      </c>
      <c r="L12" s="44">
        <v>69.56</v>
      </c>
      <c r="M12" s="33">
        <v>0</v>
      </c>
      <c r="N12" s="48">
        <v>2</v>
      </c>
      <c r="O12" s="49">
        <v>0</v>
      </c>
      <c r="P12" s="44">
        <v>4.5</v>
      </c>
      <c r="Q12" s="33">
        <v>6</v>
      </c>
      <c r="R12" s="45">
        <f t="shared" si="1"/>
        <v>0.5</v>
      </c>
      <c r="S12" s="33">
        <f t="shared" si="2"/>
        <v>3.5</v>
      </c>
      <c r="T12" s="44">
        <v>0</v>
      </c>
      <c r="U12" s="33">
        <v>0</v>
      </c>
      <c r="V12" s="44">
        <v>0.5</v>
      </c>
      <c r="W12" s="33">
        <v>3.5</v>
      </c>
      <c r="X12" s="44">
        <v>4</v>
      </c>
      <c r="Y12" s="33">
        <v>2.5</v>
      </c>
      <c r="Z12" s="46">
        <v>9</v>
      </c>
      <c r="AA12" s="47">
        <v>17.5</v>
      </c>
    </row>
    <row r="13" spans="1:30" x14ac:dyDescent="0.2">
      <c r="A13" s="1">
        <f t="shared" si="3"/>
        <v>11</v>
      </c>
      <c r="B13" s="32">
        <v>25.4999</v>
      </c>
      <c r="C13" s="33">
        <v>75.56</v>
      </c>
      <c r="D13" s="44">
        <v>5.4999442499999986</v>
      </c>
      <c r="E13" s="33">
        <f t="shared" si="0"/>
        <v>65.56</v>
      </c>
      <c r="F13" s="44">
        <v>20</v>
      </c>
      <c r="G13" s="33">
        <v>10</v>
      </c>
      <c r="H13" s="44">
        <v>5.4999442499999986</v>
      </c>
      <c r="I13" s="33">
        <v>0</v>
      </c>
      <c r="J13" s="44">
        <v>0</v>
      </c>
      <c r="K13" s="33">
        <v>0</v>
      </c>
      <c r="L13" s="44">
        <v>0</v>
      </c>
      <c r="M13" s="33">
        <v>65.56</v>
      </c>
      <c r="N13" s="48">
        <v>0</v>
      </c>
      <c r="O13" s="49">
        <v>2</v>
      </c>
      <c r="P13" s="44">
        <v>10.5</v>
      </c>
      <c r="Q13" s="33">
        <v>6.5</v>
      </c>
      <c r="R13" s="45">
        <f t="shared" si="1"/>
        <v>5</v>
      </c>
      <c r="S13" s="33">
        <f t="shared" si="2"/>
        <v>0</v>
      </c>
      <c r="T13" s="44">
        <v>0</v>
      </c>
      <c r="U13" s="33">
        <v>0</v>
      </c>
      <c r="V13" s="44">
        <v>5</v>
      </c>
      <c r="W13" s="33">
        <v>0</v>
      </c>
      <c r="X13" s="44">
        <v>5.5</v>
      </c>
      <c r="Y13" s="33">
        <v>6.5</v>
      </c>
      <c r="Z13" s="46">
        <v>36</v>
      </c>
      <c r="AA13" s="47">
        <v>7.05</v>
      </c>
    </row>
    <row r="14" spans="1:30" x14ac:dyDescent="0.2">
      <c r="A14" s="1">
        <f t="shared" si="3"/>
        <v>12</v>
      </c>
      <c r="B14" s="32">
        <v>15</v>
      </c>
      <c r="C14" s="33">
        <v>79</v>
      </c>
      <c r="D14" s="44">
        <v>0</v>
      </c>
      <c r="E14" s="33">
        <f t="shared" si="0"/>
        <v>76</v>
      </c>
      <c r="F14" s="44">
        <v>15</v>
      </c>
      <c r="G14" s="33">
        <v>3</v>
      </c>
      <c r="H14" s="44">
        <v>0</v>
      </c>
      <c r="I14" s="33">
        <v>0</v>
      </c>
      <c r="J14" s="44">
        <v>0</v>
      </c>
      <c r="K14" s="33">
        <v>0</v>
      </c>
      <c r="L14" s="44">
        <v>0</v>
      </c>
      <c r="M14" s="33">
        <v>76</v>
      </c>
      <c r="N14" s="48">
        <v>0</v>
      </c>
      <c r="O14" s="49">
        <v>2</v>
      </c>
      <c r="P14" s="44">
        <v>1</v>
      </c>
      <c r="Q14" s="33">
        <v>1</v>
      </c>
      <c r="R14" s="45">
        <f t="shared" si="1"/>
        <v>1.0000499</v>
      </c>
      <c r="S14" s="33">
        <f t="shared" si="2"/>
        <v>1</v>
      </c>
      <c r="T14" s="44">
        <v>0.50004990000000005</v>
      </c>
      <c r="U14" s="33">
        <v>0</v>
      </c>
      <c r="V14" s="44">
        <v>0.5</v>
      </c>
      <c r="W14" s="33">
        <v>1</v>
      </c>
      <c r="X14" s="44">
        <v>0</v>
      </c>
      <c r="Y14" s="33">
        <v>0</v>
      </c>
      <c r="Z14" s="46">
        <v>4</v>
      </c>
      <c r="AA14" s="47">
        <v>5</v>
      </c>
    </row>
    <row r="15" spans="1:30" x14ac:dyDescent="0.2">
      <c r="A15" s="1">
        <f t="shared" si="3"/>
        <v>13</v>
      </c>
      <c r="B15" s="32">
        <v>150.56</v>
      </c>
      <c r="C15" s="33">
        <v>70.999926304166664</v>
      </c>
      <c r="D15" s="44">
        <v>140.56005024166666</v>
      </c>
      <c r="E15" s="33">
        <f t="shared" si="0"/>
        <v>62.999888880555552</v>
      </c>
      <c r="F15" s="44">
        <v>9.9999497583333294</v>
      </c>
      <c r="G15" s="33">
        <v>8.0000374236111114</v>
      </c>
      <c r="H15" s="44">
        <v>0</v>
      </c>
      <c r="I15" s="33">
        <v>0.99992630416666684</v>
      </c>
      <c r="J15" s="44">
        <v>73.000050241666671</v>
      </c>
      <c r="K15" s="33">
        <v>31.999962576388889</v>
      </c>
      <c r="L15" s="44">
        <v>67.56</v>
      </c>
      <c r="M15" s="33">
        <v>30</v>
      </c>
      <c r="N15" s="48">
        <v>2</v>
      </c>
      <c r="O15" s="49">
        <v>1</v>
      </c>
      <c r="P15" s="44">
        <v>0</v>
      </c>
      <c r="Q15" s="33">
        <v>0</v>
      </c>
      <c r="R15" s="45">
        <f t="shared" si="1"/>
        <v>0</v>
      </c>
      <c r="S15" s="33">
        <f t="shared" si="2"/>
        <v>0</v>
      </c>
      <c r="T15" s="44">
        <v>0</v>
      </c>
      <c r="U15" s="33">
        <v>0</v>
      </c>
      <c r="V15" s="44">
        <v>0</v>
      </c>
      <c r="W15" s="33">
        <v>0</v>
      </c>
      <c r="X15" s="44">
        <v>0</v>
      </c>
      <c r="Y15" s="33">
        <v>0</v>
      </c>
      <c r="Z15" s="46">
        <v>0</v>
      </c>
      <c r="AA15" s="47">
        <v>0</v>
      </c>
    </row>
    <row r="16" spans="1:30" x14ac:dyDescent="0.2">
      <c r="A16" s="1">
        <f t="shared" si="3"/>
        <v>14</v>
      </c>
      <c r="B16" s="32">
        <v>131.999</v>
      </c>
      <c r="C16" s="33">
        <v>14</v>
      </c>
      <c r="D16" s="44">
        <v>130.99992912499999</v>
      </c>
      <c r="E16" s="33">
        <f t="shared" si="0"/>
        <v>9.9999241249999997</v>
      </c>
      <c r="F16" s="44">
        <v>1.0000276250000013</v>
      </c>
      <c r="G16" s="33">
        <v>4.0000758750000003</v>
      </c>
      <c r="H16" s="44">
        <v>0.99995674999999995</v>
      </c>
      <c r="I16" s="33">
        <v>0</v>
      </c>
      <c r="J16" s="44">
        <v>129.999972375</v>
      </c>
      <c r="K16" s="33">
        <v>9.9999241249999997</v>
      </c>
      <c r="L16" s="44">
        <v>0</v>
      </c>
      <c r="M16" s="33">
        <v>0</v>
      </c>
      <c r="N16" s="48">
        <v>0</v>
      </c>
      <c r="O16" s="49">
        <v>0</v>
      </c>
      <c r="P16" s="44">
        <v>2</v>
      </c>
      <c r="Q16" s="33">
        <v>0</v>
      </c>
      <c r="R16" s="45">
        <f t="shared" si="1"/>
        <v>0</v>
      </c>
      <c r="S16" s="33">
        <f t="shared" si="2"/>
        <v>0</v>
      </c>
      <c r="T16" s="44">
        <v>0</v>
      </c>
      <c r="U16" s="33">
        <v>0</v>
      </c>
      <c r="V16" s="44">
        <v>0</v>
      </c>
      <c r="W16" s="33">
        <v>0</v>
      </c>
      <c r="X16" s="44">
        <v>2</v>
      </c>
      <c r="Y16" s="33">
        <v>0</v>
      </c>
      <c r="Z16" s="46">
        <v>1</v>
      </c>
      <c r="AA16" s="47">
        <v>0</v>
      </c>
    </row>
    <row r="17" spans="1:27" x14ac:dyDescent="0.2">
      <c r="A17" s="1">
        <f t="shared" si="3"/>
        <v>15</v>
      </c>
      <c r="B17" s="32">
        <v>52</v>
      </c>
      <c r="C17" s="33">
        <v>11</v>
      </c>
      <c r="D17" s="44">
        <v>46.000051333333332</v>
      </c>
      <c r="E17" s="33">
        <f t="shared" si="0"/>
        <v>10.000078229166666</v>
      </c>
      <c r="F17" s="44">
        <v>5.9999486666666684</v>
      </c>
      <c r="G17" s="33">
        <v>0.99992177083333367</v>
      </c>
      <c r="H17" s="44">
        <v>0</v>
      </c>
      <c r="I17" s="33">
        <v>0</v>
      </c>
      <c r="J17" s="44">
        <v>46.000051333333332</v>
      </c>
      <c r="K17" s="33">
        <v>10.000078229166666</v>
      </c>
      <c r="L17" s="44">
        <v>0</v>
      </c>
      <c r="M17" s="33">
        <v>0</v>
      </c>
      <c r="N17" s="48">
        <v>0</v>
      </c>
      <c r="O17" s="49">
        <v>0</v>
      </c>
      <c r="P17" s="44">
        <v>0</v>
      </c>
      <c r="Q17" s="33">
        <v>0</v>
      </c>
      <c r="R17" s="45">
        <f t="shared" si="1"/>
        <v>0</v>
      </c>
      <c r="S17" s="33">
        <f t="shared" si="2"/>
        <v>0</v>
      </c>
      <c r="T17" s="44">
        <v>0</v>
      </c>
      <c r="U17" s="33">
        <v>0</v>
      </c>
      <c r="V17" s="44">
        <v>0</v>
      </c>
      <c r="W17" s="33">
        <v>0</v>
      </c>
      <c r="X17" s="44">
        <v>0</v>
      </c>
      <c r="Y17" s="33">
        <v>0</v>
      </c>
      <c r="Z17" s="46">
        <v>0</v>
      </c>
      <c r="AA17" s="47">
        <v>0</v>
      </c>
    </row>
    <row r="18" spans="1:27" x14ac:dyDescent="0.2">
      <c r="A18" s="1">
        <f t="shared" si="3"/>
        <v>16</v>
      </c>
      <c r="B18" s="32">
        <v>118</v>
      </c>
      <c r="C18" s="33">
        <v>9</v>
      </c>
      <c r="D18" s="44">
        <v>102.0000868125</v>
      </c>
      <c r="E18" s="33">
        <f t="shared" si="0"/>
        <v>0</v>
      </c>
      <c r="F18" s="44">
        <v>15.999913187499999</v>
      </c>
      <c r="G18" s="33">
        <v>9</v>
      </c>
      <c r="H18" s="44">
        <v>0</v>
      </c>
      <c r="I18" s="33">
        <v>0</v>
      </c>
      <c r="J18" s="44">
        <v>7.0000868125000011</v>
      </c>
      <c r="K18" s="33">
        <v>0</v>
      </c>
      <c r="L18" s="44">
        <v>95</v>
      </c>
      <c r="M18" s="33">
        <v>0</v>
      </c>
      <c r="N18" s="48">
        <v>3</v>
      </c>
      <c r="O18" s="49">
        <v>0</v>
      </c>
      <c r="P18" s="44">
        <v>0</v>
      </c>
      <c r="Q18" s="33">
        <v>5.5</v>
      </c>
      <c r="R18" s="45">
        <f t="shared" si="1"/>
        <v>0</v>
      </c>
      <c r="S18" s="33">
        <f t="shared" si="2"/>
        <v>1.9999572055555557</v>
      </c>
      <c r="T18" s="44">
        <v>0</v>
      </c>
      <c r="U18" s="33">
        <v>1.9999572055555557</v>
      </c>
      <c r="V18" s="44">
        <v>0</v>
      </c>
      <c r="W18" s="33">
        <v>0</v>
      </c>
      <c r="X18" s="44">
        <v>0</v>
      </c>
      <c r="Y18" s="33">
        <v>3.5000427944444441</v>
      </c>
      <c r="Z18" s="46">
        <v>0</v>
      </c>
      <c r="AA18" s="47">
        <v>7.75</v>
      </c>
    </row>
    <row r="19" spans="1:27" x14ac:dyDescent="0.2">
      <c r="A19" s="1">
        <f t="shared" si="3"/>
        <v>17</v>
      </c>
      <c r="B19" s="32">
        <v>73.06</v>
      </c>
      <c r="C19" s="33">
        <v>2</v>
      </c>
      <c r="D19" s="44">
        <v>71.560075683333338</v>
      </c>
      <c r="E19" s="33">
        <f t="shared" si="0"/>
        <v>0</v>
      </c>
      <c r="F19" s="44">
        <v>1.5</v>
      </c>
      <c r="G19" s="33">
        <v>2</v>
      </c>
      <c r="H19" s="44">
        <v>38.000075683333328</v>
      </c>
      <c r="I19" s="33">
        <v>0</v>
      </c>
      <c r="J19" s="44">
        <v>0</v>
      </c>
      <c r="K19" s="33">
        <v>0</v>
      </c>
      <c r="L19" s="44">
        <v>33.56</v>
      </c>
      <c r="M19" s="33">
        <v>0</v>
      </c>
      <c r="N19" s="48">
        <v>1</v>
      </c>
      <c r="O19" s="49">
        <v>0</v>
      </c>
      <c r="P19" s="44">
        <v>0</v>
      </c>
      <c r="Q19" s="33">
        <v>0</v>
      </c>
      <c r="R19" s="45">
        <f t="shared" si="1"/>
        <v>0</v>
      </c>
      <c r="S19" s="33">
        <f t="shared" si="2"/>
        <v>0</v>
      </c>
      <c r="T19" s="44">
        <v>0</v>
      </c>
      <c r="U19" s="33">
        <v>0</v>
      </c>
      <c r="V19" s="44">
        <v>0</v>
      </c>
      <c r="W19" s="33">
        <v>0</v>
      </c>
      <c r="X19" s="44">
        <v>0</v>
      </c>
      <c r="Y19" s="33">
        <v>0</v>
      </c>
      <c r="Z19" s="45">
        <v>0</v>
      </c>
      <c r="AA19" s="33">
        <v>0</v>
      </c>
    </row>
    <row r="20" spans="1:27" x14ac:dyDescent="0.2">
      <c r="A20" s="1">
        <f t="shared" si="3"/>
        <v>18</v>
      </c>
      <c r="B20" s="32">
        <v>44.999000000000002</v>
      </c>
      <c r="C20" s="33">
        <v>3</v>
      </c>
      <c r="D20" s="44">
        <v>43.999909687499994</v>
      </c>
      <c r="E20" s="33">
        <f t="shared" si="0"/>
        <v>0</v>
      </c>
      <c r="F20" s="44">
        <v>1</v>
      </c>
      <c r="G20" s="33">
        <v>3</v>
      </c>
      <c r="H20" s="44">
        <v>43.999909687499994</v>
      </c>
      <c r="I20" s="33">
        <v>0</v>
      </c>
      <c r="J20" s="44">
        <v>0</v>
      </c>
      <c r="K20" s="33">
        <v>0</v>
      </c>
      <c r="L20" s="44">
        <v>0</v>
      </c>
      <c r="M20" s="33">
        <v>0</v>
      </c>
      <c r="N20" s="48">
        <v>0</v>
      </c>
      <c r="O20" s="49">
        <v>0</v>
      </c>
      <c r="P20" s="44">
        <v>0</v>
      </c>
      <c r="Q20" s="33">
        <v>1</v>
      </c>
      <c r="R20" s="45">
        <f t="shared" si="1"/>
        <v>0</v>
      </c>
      <c r="S20" s="33">
        <f t="shared" si="2"/>
        <v>0</v>
      </c>
      <c r="T20" s="44">
        <v>0</v>
      </c>
      <c r="U20" s="33">
        <v>0</v>
      </c>
      <c r="V20" s="44">
        <v>0</v>
      </c>
      <c r="W20" s="33">
        <v>0</v>
      </c>
      <c r="X20" s="44">
        <v>0</v>
      </c>
      <c r="Y20" s="33">
        <v>1</v>
      </c>
      <c r="Z20" s="45">
        <v>0</v>
      </c>
      <c r="AA20" s="33">
        <v>0.5</v>
      </c>
    </row>
    <row r="21" spans="1:27" x14ac:dyDescent="0.2">
      <c r="A21" s="1">
        <f t="shared" si="3"/>
        <v>19</v>
      </c>
      <c r="B21" s="32">
        <v>101.1199</v>
      </c>
      <c r="C21" s="33">
        <v>1</v>
      </c>
      <c r="D21" s="44">
        <v>99.119942500000008</v>
      </c>
      <c r="E21" s="33">
        <f t="shared" si="0"/>
        <v>0</v>
      </c>
      <c r="F21" s="44">
        <v>2</v>
      </c>
      <c r="G21" s="33">
        <v>1</v>
      </c>
      <c r="H21" s="44">
        <v>31.999942500000003</v>
      </c>
      <c r="I21" s="33">
        <v>0</v>
      </c>
      <c r="J21" s="44">
        <v>0</v>
      </c>
      <c r="K21" s="33">
        <v>0</v>
      </c>
      <c r="L21" s="44">
        <v>67.12</v>
      </c>
      <c r="M21" s="33">
        <v>0</v>
      </c>
      <c r="N21" s="48">
        <v>2</v>
      </c>
      <c r="O21" s="49">
        <v>0</v>
      </c>
      <c r="P21" s="44">
        <v>0</v>
      </c>
      <c r="Q21" s="33">
        <v>1</v>
      </c>
      <c r="R21" s="45">
        <f t="shared" si="1"/>
        <v>0</v>
      </c>
      <c r="S21" s="33">
        <f t="shared" si="2"/>
        <v>1</v>
      </c>
      <c r="T21" s="44">
        <v>0</v>
      </c>
      <c r="U21" s="33">
        <v>0</v>
      </c>
      <c r="V21" s="44">
        <v>0</v>
      </c>
      <c r="W21" s="33">
        <v>1</v>
      </c>
      <c r="X21" s="44">
        <v>0</v>
      </c>
      <c r="Y21" s="33">
        <v>0</v>
      </c>
      <c r="Z21" s="45">
        <v>0</v>
      </c>
      <c r="AA21" s="33">
        <v>5</v>
      </c>
    </row>
    <row r="22" spans="1:27" x14ac:dyDescent="0.2">
      <c r="A22" s="1">
        <f t="shared" si="3"/>
        <v>20</v>
      </c>
      <c r="B22" s="32">
        <v>36.56</v>
      </c>
      <c r="C22" s="33">
        <v>2</v>
      </c>
      <c r="D22" s="44">
        <v>33.56</v>
      </c>
      <c r="E22" s="33">
        <f t="shared" si="0"/>
        <v>0</v>
      </c>
      <c r="F22" s="44">
        <v>3</v>
      </c>
      <c r="G22" s="33">
        <v>2</v>
      </c>
      <c r="H22" s="44">
        <v>0</v>
      </c>
      <c r="I22" s="33">
        <v>0</v>
      </c>
      <c r="J22" s="44">
        <v>0</v>
      </c>
      <c r="K22" s="33">
        <v>0</v>
      </c>
      <c r="L22" s="44">
        <v>33.56</v>
      </c>
      <c r="M22" s="33">
        <v>0</v>
      </c>
      <c r="N22" s="48">
        <v>1</v>
      </c>
      <c r="O22" s="49">
        <v>0</v>
      </c>
      <c r="P22" s="44">
        <v>3</v>
      </c>
      <c r="Q22" s="33">
        <v>0</v>
      </c>
      <c r="R22" s="45">
        <f t="shared" si="1"/>
        <v>2.5</v>
      </c>
      <c r="S22" s="33">
        <f t="shared" si="2"/>
        <v>0</v>
      </c>
      <c r="T22" s="44">
        <v>0</v>
      </c>
      <c r="U22" s="33">
        <v>0</v>
      </c>
      <c r="V22" s="44">
        <v>2.5</v>
      </c>
      <c r="W22" s="33">
        <v>0</v>
      </c>
      <c r="X22" s="44">
        <v>0.5</v>
      </c>
      <c r="Y22" s="33">
        <v>0</v>
      </c>
      <c r="Z22" s="45">
        <v>12.85</v>
      </c>
      <c r="AA22" s="33">
        <v>0</v>
      </c>
    </row>
    <row r="23" spans="1:27" x14ac:dyDescent="0.2">
      <c r="A23" s="1">
        <f t="shared" si="3"/>
        <v>21</v>
      </c>
      <c r="B23" s="32">
        <v>41</v>
      </c>
      <c r="C23" s="33">
        <v>5.5</v>
      </c>
      <c r="D23" s="44">
        <v>14.00007497777778</v>
      </c>
      <c r="E23" s="33">
        <f t="shared" si="0"/>
        <v>0</v>
      </c>
      <c r="F23" s="44">
        <v>27</v>
      </c>
      <c r="G23" s="33">
        <v>5.5</v>
      </c>
      <c r="H23" s="44">
        <v>14.00007497777778</v>
      </c>
      <c r="I23" s="33">
        <v>0</v>
      </c>
      <c r="J23" s="44">
        <v>0</v>
      </c>
      <c r="K23" s="33">
        <v>0</v>
      </c>
      <c r="L23" s="44">
        <v>0</v>
      </c>
      <c r="M23" s="33">
        <v>0</v>
      </c>
      <c r="N23" s="48">
        <v>0</v>
      </c>
      <c r="O23" s="49">
        <v>0</v>
      </c>
      <c r="P23" s="44">
        <v>8</v>
      </c>
      <c r="Q23" s="33">
        <v>1</v>
      </c>
      <c r="R23" s="45">
        <f t="shared" si="1"/>
        <v>7.9999400055555601</v>
      </c>
      <c r="S23" s="33">
        <f t="shared" si="2"/>
        <v>1.0000067972222222</v>
      </c>
      <c r="T23" s="44">
        <v>7.9999400055555601</v>
      </c>
      <c r="U23" s="33">
        <v>1.0000067972222222</v>
      </c>
      <c r="V23" s="44">
        <v>0</v>
      </c>
      <c r="W23" s="33">
        <v>0</v>
      </c>
      <c r="X23" s="44">
        <v>0</v>
      </c>
      <c r="Y23" s="33">
        <v>0</v>
      </c>
      <c r="Z23" s="45">
        <v>24</v>
      </c>
      <c r="AA23" s="33">
        <v>3</v>
      </c>
    </row>
    <row r="24" spans="1:27" x14ac:dyDescent="0.2">
      <c r="A24" s="1">
        <f t="shared" si="3"/>
        <v>22</v>
      </c>
      <c r="B24" s="32">
        <v>12</v>
      </c>
      <c r="C24" s="33">
        <v>2.5</v>
      </c>
      <c r="D24" s="44">
        <v>6.0000053305555552</v>
      </c>
      <c r="E24" s="33">
        <f t="shared" si="0"/>
        <v>0</v>
      </c>
      <c r="F24" s="44">
        <v>6</v>
      </c>
      <c r="G24" s="33">
        <v>2.5</v>
      </c>
      <c r="H24" s="44">
        <v>6.0000053305555552</v>
      </c>
      <c r="I24" s="33">
        <v>0</v>
      </c>
      <c r="J24" s="44">
        <v>0</v>
      </c>
      <c r="K24" s="33">
        <v>0</v>
      </c>
      <c r="L24" s="44">
        <v>0</v>
      </c>
      <c r="M24" s="33">
        <v>0</v>
      </c>
      <c r="N24" s="48">
        <v>0</v>
      </c>
      <c r="O24" s="49">
        <v>0</v>
      </c>
      <c r="P24" s="44">
        <v>1.5</v>
      </c>
      <c r="Q24" s="33">
        <v>15</v>
      </c>
      <c r="R24" s="45">
        <f t="shared" si="1"/>
        <v>1.4999099861111109</v>
      </c>
      <c r="S24" s="33">
        <f t="shared" si="2"/>
        <v>0.99999899999999986</v>
      </c>
      <c r="T24" s="44">
        <v>1.4999099861111109</v>
      </c>
      <c r="U24" s="33">
        <v>0.99999899999999986</v>
      </c>
      <c r="V24" s="44">
        <v>0</v>
      </c>
      <c r="W24" s="33">
        <v>0</v>
      </c>
      <c r="X24" s="44">
        <v>0</v>
      </c>
      <c r="Y24" s="33">
        <v>14.000001000000001</v>
      </c>
      <c r="Z24" s="45">
        <v>1.8</v>
      </c>
      <c r="AA24" s="33">
        <v>11.1</v>
      </c>
    </row>
    <row r="25" spans="1:27" x14ac:dyDescent="0.2">
      <c r="A25" s="1">
        <f t="shared" si="3"/>
        <v>23</v>
      </c>
      <c r="B25" s="32">
        <v>1</v>
      </c>
      <c r="C25" s="33">
        <v>0</v>
      </c>
      <c r="D25" s="44">
        <v>0</v>
      </c>
      <c r="E25" s="33">
        <f t="shared" si="0"/>
        <v>0</v>
      </c>
      <c r="F25" s="44">
        <v>1</v>
      </c>
      <c r="G25" s="33">
        <v>0</v>
      </c>
      <c r="H25" s="44">
        <v>0</v>
      </c>
      <c r="I25" s="33">
        <v>0</v>
      </c>
      <c r="J25" s="44">
        <v>0</v>
      </c>
      <c r="K25" s="33">
        <v>0</v>
      </c>
      <c r="L25" s="44">
        <v>0</v>
      </c>
      <c r="M25" s="33">
        <v>0</v>
      </c>
      <c r="N25" s="48">
        <v>0</v>
      </c>
      <c r="O25" s="49">
        <v>0</v>
      </c>
      <c r="P25" s="44">
        <v>12.5</v>
      </c>
      <c r="Q25" s="33">
        <v>8.5</v>
      </c>
      <c r="R25" s="45">
        <f t="shared" si="1"/>
        <v>6.0000051222222233</v>
      </c>
      <c r="S25" s="33">
        <f t="shared" si="2"/>
        <v>6.4999380000000002</v>
      </c>
      <c r="T25" s="44">
        <v>6.0000051222222233</v>
      </c>
      <c r="U25" s="33">
        <v>6.4999380000000002</v>
      </c>
      <c r="V25" s="44">
        <v>0</v>
      </c>
      <c r="W25" s="33">
        <v>0</v>
      </c>
      <c r="X25" s="44">
        <v>6.4999948777777767</v>
      </c>
      <c r="Y25" s="33">
        <v>2.0000619999999998</v>
      </c>
      <c r="Z25" s="45">
        <v>24.1</v>
      </c>
      <c r="AA25" s="33">
        <v>21.9</v>
      </c>
    </row>
    <row r="26" spans="1:27" x14ac:dyDescent="0.2">
      <c r="A26" s="1">
        <f t="shared" si="3"/>
        <v>24</v>
      </c>
      <c r="B26" s="32">
        <v>0.5</v>
      </c>
      <c r="C26" s="33">
        <v>2.5</v>
      </c>
      <c r="D26" s="44">
        <v>0</v>
      </c>
      <c r="E26" s="33">
        <f t="shared" si="0"/>
        <v>0</v>
      </c>
      <c r="F26" s="44">
        <v>0.5</v>
      </c>
      <c r="G26" s="33">
        <v>2.5</v>
      </c>
      <c r="H26" s="44">
        <v>0</v>
      </c>
      <c r="I26" s="33">
        <v>0</v>
      </c>
      <c r="J26" s="44">
        <v>0</v>
      </c>
      <c r="K26" s="33">
        <v>0</v>
      </c>
      <c r="L26" s="44">
        <v>0</v>
      </c>
      <c r="M26" s="33">
        <v>0</v>
      </c>
      <c r="N26" s="48">
        <v>0</v>
      </c>
      <c r="O26" s="49">
        <v>0</v>
      </c>
      <c r="P26" s="44">
        <v>1.5</v>
      </c>
      <c r="Q26" s="33">
        <v>0</v>
      </c>
      <c r="R26" s="45">
        <f t="shared" si="1"/>
        <v>0</v>
      </c>
      <c r="S26" s="33">
        <f t="shared" si="2"/>
        <v>0</v>
      </c>
      <c r="T26" s="44">
        <v>0</v>
      </c>
      <c r="U26" s="33">
        <v>0</v>
      </c>
      <c r="V26" s="44">
        <v>0</v>
      </c>
      <c r="W26" s="33">
        <v>0</v>
      </c>
      <c r="X26" s="44">
        <v>1.5</v>
      </c>
      <c r="Y26" s="33">
        <v>0</v>
      </c>
      <c r="Z26" s="45">
        <v>1.8</v>
      </c>
      <c r="AA26" s="33">
        <v>0</v>
      </c>
    </row>
    <row r="27" spans="1:27" x14ac:dyDescent="0.2">
      <c r="A27" s="1">
        <f t="shared" si="3"/>
        <v>25</v>
      </c>
      <c r="B27" s="32">
        <v>18</v>
      </c>
      <c r="C27" s="33">
        <v>18</v>
      </c>
      <c r="D27" s="44">
        <v>0</v>
      </c>
      <c r="E27" s="33">
        <f t="shared" si="0"/>
        <v>0</v>
      </c>
      <c r="F27" s="44">
        <v>18</v>
      </c>
      <c r="G27" s="33">
        <v>18</v>
      </c>
      <c r="H27" s="44">
        <v>0</v>
      </c>
      <c r="I27" s="33">
        <v>0</v>
      </c>
      <c r="J27" s="44">
        <v>0</v>
      </c>
      <c r="K27" s="33">
        <v>0</v>
      </c>
      <c r="L27" s="44">
        <v>0</v>
      </c>
      <c r="M27" s="33">
        <v>0</v>
      </c>
      <c r="N27" s="48">
        <v>0</v>
      </c>
      <c r="O27" s="49">
        <v>0</v>
      </c>
      <c r="P27" s="44">
        <v>9.5</v>
      </c>
      <c r="Q27" s="33">
        <v>18.5</v>
      </c>
      <c r="R27" s="45">
        <f t="shared" si="1"/>
        <v>9.500067937499999</v>
      </c>
      <c r="S27" s="33">
        <f t="shared" si="2"/>
        <v>18.499989270833336</v>
      </c>
      <c r="T27" s="44">
        <v>9.500067937499999</v>
      </c>
      <c r="U27" s="33">
        <v>18.499989270833336</v>
      </c>
      <c r="V27" s="44">
        <v>0</v>
      </c>
      <c r="W27" s="33">
        <v>0</v>
      </c>
      <c r="X27" s="44">
        <v>0</v>
      </c>
      <c r="Y27" s="33">
        <v>0</v>
      </c>
      <c r="Z27" s="45">
        <v>28.5</v>
      </c>
      <c r="AA27" s="33">
        <v>55.5</v>
      </c>
    </row>
    <row r="28" spans="1:27" x14ac:dyDescent="0.2">
      <c r="A28" s="1">
        <f t="shared" si="3"/>
        <v>26</v>
      </c>
      <c r="B28" s="32">
        <v>8</v>
      </c>
      <c r="C28" s="33">
        <v>28</v>
      </c>
      <c r="D28" s="44">
        <v>0</v>
      </c>
      <c r="E28" s="33">
        <f t="shared" si="0"/>
        <v>0</v>
      </c>
      <c r="F28" s="44">
        <v>8</v>
      </c>
      <c r="G28" s="33">
        <v>28</v>
      </c>
      <c r="H28" s="44">
        <v>0</v>
      </c>
      <c r="I28" s="33">
        <v>0</v>
      </c>
      <c r="J28" s="44">
        <v>0</v>
      </c>
      <c r="K28" s="33">
        <v>0</v>
      </c>
      <c r="L28" s="44">
        <v>0</v>
      </c>
      <c r="M28" s="33">
        <v>0</v>
      </c>
      <c r="N28" s="48">
        <v>0</v>
      </c>
      <c r="O28" s="49">
        <v>0</v>
      </c>
      <c r="P28" s="44">
        <v>4.5</v>
      </c>
      <c r="Q28" s="33">
        <v>29</v>
      </c>
      <c r="R28" s="45">
        <f t="shared" si="1"/>
        <v>4.5000003749999999</v>
      </c>
      <c r="S28" s="33">
        <f t="shared" si="2"/>
        <v>28.999997756944445</v>
      </c>
      <c r="T28" s="44">
        <v>4.5000003749999999</v>
      </c>
      <c r="U28" s="33">
        <v>28.999997756944445</v>
      </c>
      <c r="V28" s="44">
        <v>0</v>
      </c>
      <c r="W28" s="33">
        <v>0</v>
      </c>
      <c r="X28" s="44">
        <v>0</v>
      </c>
      <c r="Y28" s="33">
        <v>0</v>
      </c>
      <c r="Z28" s="45">
        <v>13.5</v>
      </c>
      <c r="AA28" s="33">
        <v>87</v>
      </c>
    </row>
    <row r="29" spans="1:27" x14ac:dyDescent="0.2">
      <c r="A29" s="1">
        <f t="shared" si="3"/>
        <v>27</v>
      </c>
      <c r="B29" s="32">
        <v>150</v>
      </c>
      <c r="C29" s="33">
        <v>30</v>
      </c>
      <c r="D29" s="44">
        <v>0</v>
      </c>
      <c r="E29" s="33">
        <f t="shared" si="0"/>
        <v>0</v>
      </c>
      <c r="F29" s="44">
        <v>150</v>
      </c>
      <c r="G29" s="33">
        <v>30</v>
      </c>
      <c r="H29" s="44">
        <v>0</v>
      </c>
      <c r="I29" s="33">
        <v>0</v>
      </c>
      <c r="J29" s="44">
        <v>0</v>
      </c>
      <c r="K29" s="33">
        <v>0</v>
      </c>
      <c r="L29" s="44">
        <v>0</v>
      </c>
      <c r="M29" s="33">
        <v>0</v>
      </c>
      <c r="N29" s="48">
        <v>0</v>
      </c>
      <c r="O29" s="49">
        <v>0</v>
      </c>
      <c r="P29" s="44">
        <v>55.5</v>
      </c>
      <c r="Q29" s="33">
        <v>26.5</v>
      </c>
      <c r="R29" s="45">
        <f t="shared" si="1"/>
        <v>27.999933069444445</v>
      </c>
      <c r="S29" s="33">
        <f t="shared" si="2"/>
        <v>14.499899800000001</v>
      </c>
      <c r="T29" s="44">
        <v>26.499933069444445</v>
      </c>
      <c r="U29" s="33">
        <v>9.9998998000000014</v>
      </c>
      <c r="V29" s="44">
        <v>1.5</v>
      </c>
      <c r="W29" s="33">
        <v>4.5</v>
      </c>
      <c r="X29" s="44">
        <v>27.500066930555555</v>
      </c>
      <c r="Y29" s="33">
        <v>12.000100199999999</v>
      </c>
      <c r="Z29" s="45">
        <v>108.88</v>
      </c>
      <c r="AA29" s="33">
        <v>70.3</v>
      </c>
    </row>
    <row r="30" spans="1:27" x14ac:dyDescent="0.2">
      <c r="A30" s="1">
        <f t="shared" si="3"/>
        <v>28</v>
      </c>
      <c r="B30" s="32">
        <v>39.999000000000002</v>
      </c>
      <c r="C30" s="33">
        <v>24.5</v>
      </c>
      <c r="D30" s="44">
        <v>9.9999626999999993</v>
      </c>
      <c r="E30" s="33">
        <f t="shared" si="0"/>
        <v>0</v>
      </c>
      <c r="F30" s="44">
        <v>30</v>
      </c>
      <c r="G30" s="33">
        <v>24.5</v>
      </c>
      <c r="H30" s="44">
        <v>9.9999626999999993</v>
      </c>
      <c r="I30" s="33">
        <v>0</v>
      </c>
      <c r="J30" s="44">
        <v>0</v>
      </c>
      <c r="K30" s="33">
        <v>0</v>
      </c>
      <c r="L30" s="44">
        <v>0</v>
      </c>
      <c r="M30" s="33">
        <v>0</v>
      </c>
      <c r="N30" s="48">
        <v>0</v>
      </c>
      <c r="O30" s="49">
        <v>0</v>
      </c>
      <c r="P30" s="44">
        <v>19</v>
      </c>
      <c r="Q30" s="33">
        <v>21</v>
      </c>
      <c r="R30" s="45">
        <f t="shared" si="1"/>
        <v>18.9999243</v>
      </c>
      <c r="S30" s="33">
        <f t="shared" si="2"/>
        <v>21.000041550000002</v>
      </c>
      <c r="T30" s="44">
        <v>11.9999243</v>
      </c>
      <c r="U30" s="33">
        <v>15.500041550000002</v>
      </c>
      <c r="V30" s="44">
        <v>7</v>
      </c>
      <c r="W30" s="33">
        <v>5.5</v>
      </c>
      <c r="X30" s="44">
        <v>0</v>
      </c>
      <c r="Y30" s="33">
        <v>0</v>
      </c>
      <c r="Z30" s="45">
        <v>69</v>
      </c>
      <c r="AA30" s="33">
        <v>74</v>
      </c>
    </row>
    <row r="32" spans="1:27" s="41" customFormat="1" x14ac:dyDescent="0.2"/>
    <row r="33" spans="13:18" s="41" customFormat="1" x14ac:dyDescent="0.2">
      <c r="M33" s="42"/>
      <c r="N33" s="43"/>
      <c r="R33" s="43"/>
    </row>
  </sheetData>
  <mergeCells count="13">
    <mergeCell ref="L1:M1"/>
    <mergeCell ref="B1:C1"/>
    <mergeCell ref="D1:E1"/>
    <mergeCell ref="F1:G1"/>
    <mergeCell ref="H1:I1"/>
    <mergeCell ref="J1:K1"/>
    <mergeCell ref="Z1:AA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C81C-BAF6-2342-9B9A-08FC3DC83431}">
  <dimension ref="A1:H38"/>
  <sheetViews>
    <sheetView workbookViewId="0">
      <selection activeCell="H21" sqref="H21"/>
    </sheetView>
  </sheetViews>
  <sheetFormatPr baseColWidth="10" defaultRowHeight="16" x14ac:dyDescent="0.2"/>
  <sheetData>
    <row r="1" spans="1:8" ht="17" thickBot="1" x14ac:dyDescent="0.25">
      <c r="A1" s="16"/>
      <c r="B1" s="34" t="s">
        <v>23</v>
      </c>
      <c r="C1" s="39"/>
    </row>
    <row r="2" spans="1:8" ht="17" thickBot="1" x14ac:dyDescent="0.25">
      <c r="A2" s="17" t="s">
        <v>8</v>
      </c>
      <c r="B2" s="18" t="s">
        <v>0</v>
      </c>
      <c r="C2" s="19" t="s">
        <v>1</v>
      </c>
      <c r="E2" s="21"/>
      <c r="F2" s="21"/>
      <c r="G2" s="21"/>
      <c r="H2" s="21"/>
    </row>
    <row r="3" spans="1:8" x14ac:dyDescent="0.2">
      <c r="A3" s="20">
        <v>1</v>
      </c>
      <c r="B3" s="24">
        <v>173</v>
      </c>
      <c r="C3" s="25">
        <v>173</v>
      </c>
      <c r="E3" s="21"/>
      <c r="F3" s="22"/>
      <c r="G3" s="22"/>
      <c r="H3" s="21"/>
    </row>
    <row r="4" spans="1:8" x14ac:dyDescent="0.2">
      <c r="A4" s="20">
        <v>2</v>
      </c>
      <c r="B4" s="24">
        <v>195</v>
      </c>
      <c r="C4" s="25">
        <v>199</v>
      </c>
      <c r="E4" s="21"/>
      <c r="F4" s="22"/>
      <c r="G4" s="22"/>
      <c r="H4" s="21"/>
    </row>
    <row r="5" spans="1:8" x14ac:dyDescent="0.2">
      <c r="A5" s="20">
        <v>3</v>
      </c>
      <c r="B5" s="24">
        <v>190</v>
      </c>
      <c r="C5" s="25">
        <v>187</v>
      </c>
      <c r="E5" s="21"/>
      <c r="F5" s="22"/>
      <c r="G5" s="22"/>
      <c r="H5" s="21"/>
    </row>
    <row r="6" spans="1:8" x14ac:dyDescent="0.2">
      <c r="A6" s="20">
        <v>4</v>
      </c>
      <c r="B6" s="24">
        <v>153</v>
      </c>
      <c r="C6" s="25">
        <v>161</v>
      </c>
      <c r="E6" s="21"/>
      <c r="F6" s="22"/>
      <c r="G6" s="22"/>
      <c r="H6" s="21"/>
    </row>
    <row r="7" spans="1:8" x14ac:dyDescent="0.2">
      <c r="A7" s="20">
        <v>5</v>
      </c>
      <c r="B7" s="24">
        <v>173</v>
      </c>
      <c r="C7" s="25">
        <v>173</v>
      </c>
      <c r="E7" s="21"/>
      <c r="F7" s="22"/>
      <c r="G7" s="22"/>
      <c r="H7" s="21"/>
    </row>
    <row r="8" spans="1:8" x14ac:dyDescent="0.2">
      <c r="A8" s="20">
        <v>6</v>
      </c>
      <c r="B8" s="24">
        <v>199</v>
      </c>
      <c r="C8" s="25">
        <v>195</v>
      </c>
      <c r="E8" s="21"/>
      <c r="F8" s="22"/>
      <c r="G8" s="22"/>
      <c r="H8" s="21"/>
    </row>
    <row r="9" spans="1:8" x14ac:dyDescent="0.2">
      <c r="A9" s="20">
        <v>7</v>
      </c>
      <c r="B9" s="24">
        <v>187</v>
      </c>
      <c r="C9" s="25">
        <v>190</v>
      </c>
      <c r="E9" s="21"/>
      <c r="F9" s="22"/>
      <c r="G9" s="22"/>
      <c r="H9" s="21"/>
    </row>
    <row r="10" spans="1:8" x14ac:dyDescent="0.2">
      <c r="A10" s="20">
        <v>8</v>
      </c>
      <c r="B10" s="24">
        <v>161</v>
      </c>
      <c r="C10" s="25">
        <v>153</v>
      </c>
      <c r="E10" s="21"/>
      <c r="F10" s="22"/>
      <c r="G10" s="22"/>
      <c r="H10" s="21"/>
    </row>
    <row r="11" spans="1:8" x14ac:dyDescent="0.2">
      <c r="A11" s="20">
        <v>9</v>
      </c>
      <c r="B11" s="24">
        <v>173</v>
      </c>
      <c r="C11" s="25">
        <v>173</v>
      </c>
      <c r="E11" s="21"/>
      <c r="F11" s="22"/>
      <c r="G11" s="22"/>
      <c r="H11" s="21"/>
    </row>
    <row r="12" spans="1:8" x14ac:dyDescent="0.2">
      <c r="A12" s="20">
        <v>10</v>
      </c>
      <c r="B12" s="24">
        <v>195</v>
      </c>
      <c r="C12" s="25">
        <v>199</v>
      </c>
      <c r="E12" s="21"/>
      <c r="F12" s="22"/>
      <c r="G12" s="22"/>
      <c r="H12" s="21"/>
    </row>
    <row r="13" spans="1:8" x14ac:dyDescent="0.2">
      <c r="A13" s="20">
        <v>11</v>
      </c>
      <c r="B13" s="24">
        <v>190</v>
      </c>
      <c r="C13" s="25">
        <v>187</v>
      </c>
      <c r="E13" s="21"/>
      <c r="F13" s="22"/>
      <c r="G13" s="22"/>
      <c r="H13" s="21"/>
    </row>
    <row r="14" spans="1:8" x14ac:dyDescent="0.2">
      <c r="A14" s="20">
        <v>12</v>
      </c>
      <c r="B14" s="24">
        <v>153</v>
      </c>
      <c r="C14" s="25">
        <v>161</v>
      </c>
      <c r="E14" s="21"/>
      <c r="F14" s="22"/>
      <c r="G14" s="22"/>
      <c r="H14" s="21"/>
    </row>
    <row r="15" spans="1:8" x14ac:dyDescent="0.2">
      <c r="A15" s="20">
        <v>13</v>
      </c>
      <c r="B15" s="24">
        <v>173</v>
      </c>
      <c r="C15" s="25">
        <v>173</v>
      </c>
      <c r="E15" s="21"/>
      <c r="F15" s="23"/>
      <c r="G15" s="23"/>
      <c r="H15" s="21"/>
    </row>
    <row r="16" spans="1:8" x14ac:dyDescent="0.2">
      <c r="A16" s="20">
        <v>14</v>
      </c>
      <c r="B16" s="24">
        <v>195</v>
      </c>
      <c r="C16" s="25">
        <v>199</v>
      </c>
      <c r="E16" s="21"/>
      <c r="F16" s="23"/>
      <c r="G16" s="23"/>
      <c r="H16" s="21"/>
    </row>
    <row r="17" spans="1:8" x14ac:dyDescent="0.2">
      <c r="A17" s="20">
        <v>15</v>
      </c>
      <c r="B17" s="24">
        <v>190</v>
      </c>
      <c r="C17" s="25">
        <v>187</v>
      </c>
      <c r="E17" s="21"/>
      <c r="F17" s="23"/>
      <c r="G17" s="23"/>
      <c r="H17" s="21"/>
    </row>
    <row r="18" spans="1:8" x14ac:dyDescent="0.2">
      <c r="A18" s="20">
        <v>16</v>
      </c>
      <c r="B18" s="24">
        <v>153</v>
      </c>
      <c r="C18" s="25">
        <v>161</v>
      </c>
      <c r="E18" s="21"/>
      <c r="F18" s="23"/>
      <c r="G18" s="23"/>
      <c r="H18" s="21"/>
    </row>
    <row r="19" spans="1:8" x14ac:dyDescent="0.2">
      <c r="A19" s="20">
        <v>17</v>
      </c>
      <c r="B19" s="24">
        <v>173</v>
      </c>
      <c r="C19" s="25">
        <v>173</v>
      </c>
      <c r="E19" s="21"/>
      <c r="F19" s="22"/>
      <c r="G19" s="22"/>
      <c r="H19" s="21"/>
    </row>
    <row r="20" spans="1:8" x14ac:dyDescent="0.2">
      <c r="A20" s="20">
        <v>18</v>
      </c>
      <c r="B20" s="24">
        <v>195</v>
      </c>
      <c r="C20" s="25">
        <v>199</v>
      </c>
      <c r="E20" s="21"/>
      <c r="F20" s="22"/>
      <c r="G20" s="22"/>
      <c r="H20" s="21"/>
    </row>
    <row r="21" spans="1:8" x14ac:dyDescent="0.2">
      <c r="A21" s="20">
        <v>19</v>
      </c>
      <c r="B21" s="24">
        <v>190</v>
      </c>
      <c r="C21" s="25">
        <v>187</v>
      </c>
      <c r="E21" s="21"/>
      <c r="F21" s="22"/>
      <c r="G21" s="22"/>
      <c r="H21" s="21"/>
    </row>
    <row r="22" spans="1:8" x14ac:dyDescent="0.2">
      <c r="A22" s="20">
        <v>20</v>
      </c>
      <c r="B22" s="24">
        <v>153</v>
      </c>
      <c r="C22" s="25">
        <v>161</v>
      </c>
      <c r="E22" s="21"/>
      <c r="F22" s="22"/>
      <c r="G22" s="22"/>
      <c r="H22" s="21"/>
    </row>
    <row r="23" spans="1:8" x14ac:dyDescent="0.2">
      <c r="A23" s="20">
        <v>21</v>
      </c>
      <c r="B23" s="24">
        <v>173</v>
      </c>
      <c r="C23" s="25">
        <v>173</v>
      </c>
      <c r="E23" s="21"/>
      <c r="F23" s="22"/>
      <c r="G23" s="22"/>
      <c r="H23" s="21"/>
    </row>
    <row r="24" spans="1:8" x14ac:dyDescent="0.2">
      <c r="A24" s="20">
        <v>22</v>
      </c>
      <c r="B24" s="24">
        <v>199</v>
      </c>
      <c r="C24" s="25">
        <v>195</v>
      </c>
      <c r="E24" s="21"/>
      <c r="F24" s="22"/>
      <c r="G24" s="22"/>
      <c r="H24" s="21"/>
    </row>
    <row r="25" spans="1:8" x14ac:dyDescent="0.2">
      <c r="A25" s="20">
        <v>23</v>
      </c>
      <c r="B25" s="24">
        <v>187</v>
      </c>
      <c r="C25" s="25">
        <v>190</v>
      </c>
      <c r="E25" s="21"/>
      <c r="F25" s="22"/>
      <c r="G25" s="22"/>
      <c r="H25" s="21"/>
    </row>
    <row r="26" spans="1:8" x14ac:dyDescent="0.2">
      <c r="A26" s="20">
        <v>24</v>
      </c>
      <c r="B26" s="24">
        <v>161</v>
      </c>
      <c r="C26" s="25">
        <v>153</v>
      </c>
      <c r="E26" s="21"/>
      <c r="F26" s="22"/>
      <c r="G26" s="22"/>
      <c r="H26" s="21"/>
    </row>
    <row r="27" spans="1:8" x14ac:dyDescent="0.2">
      <c r="A27" s="20">
        <v>25</v>
      </c>
      <c r="B27" s="24">
        <v>173</v>
      </c>
      <c r="C27" s="25">
        <v>173</v>
      </c>
      <c r="E27" s="21"/>
      <c r="F27" s="22"/>
      <c r="G27" s="22"/>
      <c r="H27" s="21"/>
    </row>
    <row r="28" spans="1:8" x14ac:dyDescent="0.2">
      <c r="A28" s="20">
        <v>26</v>
      </c>
      <c r="B28" s="24">
        <v>195</v>
      </c>
      <c r="C28" s="25">
        <v>199</v>
      </c>
      <c r="E28" s="21"/>
      <c r="F28" s="22"/>
      <c r="G28" s="22"/>
      <c r="H28" s="21"/>
    </row>
    <row r="29" spans="1:8" x14ac:dyDescent="0.2">
      <c r="A29" s="20">
        <v>27</v>
      </c>
      <c r="B29" s="24">
        <v>190</v>
      </c>
      <c r="C29" s="25">
        <v>187</v>
      </c>
      <c r="E29" s="21"/>
      <c r="F29" s="22"/>
      <c r="G29" s="22"/>
      <c r="H29" s="21"/>
    </row>
    <row r="30" spans="1:8" x14ac:dyDescent="0.2">
      <c r="A30" s="20">
        <v>28</v>
      </c>
      <c r="B30" s="24">
        <v>153</v>
      </c>
      <c r="C30" s="25">
        <v>161</v>
      </c>
      <c r="E30" s="21"/>
      <c r="F30" s="22"/>
      <c r="G30" s="22"/>
      <c r="H30" s="21"/>
    </row>
    <row r="31" spans="1:8" x14ac:dyDescent="0.2">
      <c r="E31" s="21"/>
      <c r="F31" s="22"/>
      <c r="G31" s="22"/>
      <c r="H31" s="21"/>
    </row>
    <row r="32" spans="1:8" x14ac:dyDescent="0.2">
      <c r="E32" s="21"/>
      <c r="F32" s="22"/>
      <c r="G32" s="22"/>
      <c r="H32" s="21"/>
    </row>
    <row r="33" spans="5:8" x14ac:dyDescent="0.2">
      <c r="E33" s="21"/>
      <c r="F33" s="22"/>
      <c r="G33" s="22"/>
      <c r="H33" s="21"/>
    </row>
    <row r="34" spans="5:8" x14ac:dyDescent="0.2">
      <c r="E34" s="21"/>
      <c r="F34" s="22"/>
      <c r="G34" s="22"/>
      <c r="H34" s="21"/>
    </row>
    <row r="35" spans="5:8" x14ac:dyDescent="0.2">
      <c r="E35" s="21"/>
      <c r="F35" s="21"/>
      <c r="G35" s="21"/>
      <c r="H35" s="21"/>
    </row>
    <row r="36" spans="5:8" x14ac:dyDescent="0.2">
      <c r="E36" s="21"/>
      <c r="F36" s="21"/>
      <c r="G36" s="21"/>
      <c r="H36" s="21"/>
    </row>
    <row r="37" spans="5:8" x14ac:dyDescent="0.2">
      <c r="E37" s="21"/>
      <c r="F37" s="21"/>
      <c r="G37" s="21"/>
      <c r="H37" s="21"/>
    </row>
    <row r="38" spans="5:8" x14ac:dyDescent="0.2">
      <c r="E38" s="21"/>
      <c r="F38" s="21"/>
      <c r="G38" s="21"/>
      <c r="H38" s="21"/>
    </row>
  </sheetData>
  <mergeCells count="1"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64573-CDB1-0F4B-B93F-539962A4FE8E}">
  <dimension ref="A1:H36"/>
  <sheetViews>
    <sheetView workbookViewId="0">
      <selection activeCell="C3" sqref="C3"/>
    </sheetView>
  </sheetViews>
  <sheetFormatPr baseColWidth="10" defaultRowHeight="16" x14ac:dyDescent="0.2"/>
  <sheetData>
    <row r="1" spans="1:8" ht="17" thickBot="1" x14ac:dyDescent="0.25">
      <c r="A1" s="16"/>
      <c r="B1" s="34" t="s">
        <v>24</v>
      </c>
      <c r="C1" s="39"/>
    </row>
    <row r="2" spans="1:8" ht="17" thickBot="1" x14ac:dyDescent="0.25">
      <c r="A2" s="17" t="s">
        <v>8</v>
      </c>
      <c r="B2" s="18" t="s">
        <v>0</v>
      </c>
      <c r="C2" s="19" t="s">
        <v>1</v>
      </c>
      <c r="E2" s="21"/>
      <c r="F2" s="21"/>
      <c r="G2" s="21"/>
      <c r="H2" s="21"/>
    </row>
    <row r="3" spans="1:8" x14ac:dyDescent="0.2">
      <c r="A3" s="20">
        <v>1</v>
      </c>
      <c r="B3" s="24">
        <v>565</v>
      </c>
      <c r="C3" s="25">
        <v>624</v>
      </c>
      <c r="E3" s="21"/>
      <c r="F3" s="26"/>
      <c r="G3" s="26"/>
      <c r="H3" s="21"/>
    </row>
    <row r="4" spans="1:8" x14ac:dyDescent="0.2">
      <c r="A4" s="20">
        <v>2</v>
      </c>
      <c r="B4" s="24">
        <v>513</v>
      </c>
      <c r="C4" s="25">
        <v>602</v>
      </c>
      <c r="E4" s="21"/>
      <c r="F4" s="26"/>
      <c r="G4" s="26"/>
      <c r="H4" s="21"/>
    </row>
    <row r="5" spans="1:8" x14ac:dyDescent="0.2">
      <c r="A5" s="20">
        <v>3</v>
      </c>
      <c r="B5" s="24">
        <v>579</v>
      </c>
      <c r="C5" s="25">
        <v>659</v>
      </c>
      <c r="E5" s="21"/>
      <c r="F5" s="26"/>
      <c r="G5" s="26"/>
      <c r="H5" s="21"/>
    </row>
    <row r="6" spans="1:8" x14ac:dyDescent="0.2">
      <c r="A6" s="20">
        <v>4</v>
      </c>
      <c r="B6" s="24">
        <v>566</v>
      </c>
      <c r="C6" s="25">
        <v>590</v>
      </c>
      <c r="E6" s="21"/>
      <c r="F6" s="26"/>
      <c r="G6" s="26"/>
      <c r="H6" s="21"/>
    </row>
    <row r="7" spans="1:8" x14ac:dyDescent="0.2">
      <c r="A7" s="20">
        <v>5</v>
      </c>
      <c r="B7" s="24">
        <v>811</v>
      </c>
      <c r="C7" s="25">
        <v>780</v>
      </c>
      <c r="E7" s="21"/>
      <c r="F7" s="26"/>
      <c r="G7" s="26"/>
      <c r="H7" s="21"/>
    </row>
    <row r="8" spans="1:8" x14ac:dyDescent="0.2">
      <c r="A8" s="20">
        <v>6</v>
      </c>
      <c r="B8" s="24">
        <v>813</v>
      </c>
      <c r="C8" s="25">
        <v>774</v>
      </c>
      <c r="E8" s="21"/>
      <c r="F8" s="26"/>
      <c r="G8" s="26"/>
      <c r="H8" s="21"/>
    </row>
    <row r="9" spans="1:8" x14ac:dyDescent="0.2">
      <c r="A9" s="20">
        <v>7</v>
      </c>
      <c r="B9" s="24">
        <v>846</v>
      </c>
      <c r="C9" s="25">
        <v>820</v>
      </c>
      <c r="E9" s="21"/>
      <c r="F9" s="26"/>
      <c r="G9" s="26"/>
      <c r="H9" s="21"/>
    </row>
    <row r="10" spans="1:8" x14ac:dyDescent="0.2">
      <c r="A10" s="20">
        <v>8</v>
      </c>
      <c r="B10" s="24">
        <v>870</v>
      </c>
      <c r="C10" s="25">
        <v>836</v>
      </c>
      <c r="E10" s="21"/>
      <c r="F10" s="26"/>
      <c r="G10" s="26"/>
      <c r="H10" s="21"/>
    </row>
    <row r="11" spans="1:8" x14ac:dyDescent="0.2">
      <c r="A11" s="20">
        <v>9</v>
      </c>
      <c r="B11" s="24">
        <v>779</v>
      </c>
      <c r="C11" s="25">
        <v>804</v>
      </c>
      <c r="E11" s="21"/>
      <c r="F11" s="26"/>
      <c r="G11" s="26"/>
      <c r="H11" s="21"/>
    </row>
    <row r="12" spans="1:8" x14ac:dyDescent="0.2">
      <c r="A12" s="20">
        <v>10</v>
      </c>
      <c r="B12" s="24">
        <v>804</v>
      </c>
      <c r="C12" s="25">
        <v>825</v>
      </c>
      <c r="E12" s="21"/>
      <c r="F12" s="26"/>
      <c r="G12" s="26"/>
      <c r="H12" s="21"/>
    </row>
    <row r="13" spans="1:8" x14ac:dyDescent="0.2">
      <c r="A13" s="20">
        <v>11</v>
      </c>
      <c r="B13" s="24">
        <v>783</v>
      </c>
      <c r="C13" s="25">
        <v>806</v>
      </c>
      <c r="E13" s="21"/>
      <c r="F13" s="26"/>
      <c r="G13" s="26"/>
      <c r="H13" s="21"/>
    </row>
    <row r="14" spans="1:8" x14ac:dyDescent="0.2">
      <c r="A14" s="20">
        <v>12</v>
      </c>
      <c r="B14" s="24">
        <v>812</v>
      </c>
      <c r="C14" s="25">
        <v>837</v>
      </c>
      <c r="E14" s="21"/>
      <c r="F14" s="26"/>
      <c r="G14" s="26"/>
      <c r="H14" s="21"/>
    </row>
    <row r="15" spans="1:8" x14ac:dyDescent="0.2">
      <c r="A15" s="20">
        <v>13</v>
      </c>
      <c r="B15" s="24">
        <v>718</v>
      </c>
      <c r="C15" s="25">
        <v>743</v>
      </c>
      <c r="E15" s="21"/>
      <c r="F15" s="26"/>
      <c r="G15" s="26"/>
      <c r="H15" s="21"/>
    </row>
    <row r="16" spans="1:8" x14ac:dyDescent="0.2">
      <c r="A16" s="20">
        <v>14</v>
      </c>
      <c r="B16" s="24">
        <v>626</v>
      </c>
      <c r="C16" s="25">
        <v>645</v>
      </c>
      <c r="E16" s="21"/>
      <c r="F16" s="26"/>
      <c r="G16" s="26"/>
      <c r="H16" s="21"/>
    </row>
    <row r="17" spans="1:8" x14ac:dyDescent="0.2">
      <c r="A17" s="20">
        <v>15</v>
      </c>
      <c r="B17" s="24">
        <v>776</v>
      </c>
      <c r="C17" s="25">
        <v>735</v>
      </c>
      <c r="E17" s="21"/>
      <c r="F17" s="26"/>
      <c r="G17" s="26"/>
      <c r="H17" s="21"/>
    </row>
    <row r="18" spans="1:8" x14ac:dyDescent="0.2">
      <c r="A18" s="20">
        <v>16</v>
      </c>
      <c r="B18" s="24">
        <v>835</v>
      </c>
      <c r="C18" s="25">
        <v>859</v>
      </c>
      <c r="E18" s="21"/>
      <c r="F18" s="26"/>
      <c r="G18" s="26"/>
      <c r="H18" s="21"/>
    </row>
    <row r="19" spans="1:8" x14ac:dyDescent="0.2">
      <c r="A19" s="20">
        <v>17</v>
      </c>
      <c r="B19" s="24">
        <v>771</v>
      </c>
      <c r="C19" s="25">
        <v>790</v>
      </c>
      <c r="E19" s="21"/>
      <c r="F19" s="22"/>
      <c r="G19" s="22"/>
      <c r="H19" s="21"/>
    </row>
    <row r="20" spans="1:8" x14ac:dyDescent="0.2">
      <c r="A20" s="20">
        <v>18</v>
      </c>
      <c r="B20" s="24">
        <v>807</v>
      </c>
      <c r="C20" s="25">
        <v>824</v>
      </c>
      <c r="E20" s="21"/>
      <c r="F20" s="22"/>
      <c r="G20" s="22"/>
      <c r="H20" s="21"/>
    </row>
    <row r="21" spans="1:8" x14ac:dyDescent="0.2">
      <c r="A21" s="20">
        <v>19</v>
      </c>
      <c r="B21" s="24">
        <v>795</v>
      </c>
      <c r="C21" s="25">
        <v>813</v>
      </c>
      <c r="E21" s="21"/>
      <c r="F21" s="22"/>
      <c r="G21" s="22"/>
      <c r="H21" s="21"/>
    </row>
    <row r="22" spans="1:8" x14ac:dyDescent="0.2">
      <c r="A22" s="20">
        <v>20</v>
      </c>
      <c r="B22" s="24">
        <v>856</v>
      </c>
      <c r="C22" s="25">
        <v>875</v>
      </c>
      <c r="E22" s="21"/>
      <c r="F22" s="22"/>
      <c r="G22" s="22"/>
      <c r="H22" s="21"/>
    </row>
    <row r="23" spans="1:8" x14ac:dyDescent="0.2">
      <c r="A23" s="20">
        <v>21</v>
      </c>
      <c r="B23" s="24">
        <v>749</v>
      </c>
      <c r="C23" s="25">
        <v>742</v>
      </c>
      <c r="E23" s="21"/>
      <c r="F23" s="26"/>
      <c r="G23" s="26"/>
      <c r="H23" s="21"/>
    </row>
    <row r="24" spans="1:8" x14ac:dyDescent="0.2">
      <c r="A24" s="20">
        <v>22</v>
      </c>
      <c r="B24" s="24">
        <v>661</v>
      </c>
      <c r="C24" s="25">
        <v>648</v>
      </c>
      <c r="E24" s="21"/>
      <c r="F24" s="26"/>
      <c r="G24" s="26"/>
      <c r="H24" s="21"/>
    </row>
    <row r="25" spans="1:8" x14ac:dyDescent="0.2">
      <c r="A25" s="20">
        <v>23</v>
      </c>
      <c r="B25" s="24">
        <v>676</v>
      </c>
      <c r="C25" s="25">
        <v>666</v>
      </c>
      <c r="E25" s="21"/>
      <c r="F25" s="26"/>
      <c r="G25" s="26"/>
      <c r="H25" s="21"/>
    </row>
    <row r="26" spans="1:8" x14ac:dyDescent="0.2">
      <c r="A26" s="20">
        <v>24</v>
      </c>
      <c r="B26" s="24">
        <v>684</v>
      </c>
      <c r="C26" s="25">
        <v>677</v>
      </c>
      <c r="E26" s="21"/>
      <c r="F26" s="26"/>
      <c r="G26" s="26"/>
      <c r="H26" s="21"/>
    </row>
    <row r="27" spans="1:8" x14ac:dyDescent="0.2">
      <c r="A27" s="20">
        <v>25</v>
      </c>
      <c r="B27" s="24">
        <v>735</v>
      </c>
      <c r="C27" s="25">
        <v>761</v>
      </c>
      <c r="E27" s="21"/>
      <c r="F27" s="27"/>
      <c r="G27" s="27"/>
      <c r="H27" s="21"/>
    </row>
    <row r="28" spans="1:8" x14ac:dyDescent="0.2">
      <c r="A28" s="20">
        <v>26</v>
      </c>
      <c r="B28" s="24">
        <v>722</v>
      </c>
      <c r="C28" s="25">
        <v>755</v>
      </c>
      <c r="E28" s="21"/>
      <c r="F28" s="27"/>
      <c r="G28" s="27"/>
      <c r="H28" s="21"/>
    </row>
    <row r="29" spans="1:8" x14ac:dyDescent="0.2">
      <c r="A29" s="20">
        <v>27</v>
      </c>
      <c r="B29" s="24">
        <v>761</v>
      </c>
      <c r="C29" s="25">
        <v>792</v>
      </c>
      <c r="E29" s="21"/>
      <c r="F29" s="27"/>
      <c r="G29" s="27"/>
      <c r="H29" s="21"/>
    </row>
    <row r="30" spans="1:8" x14ac:dyDescent="0.2">
      <c r="A30" s="20">
        <v>28</v>
      </c>
      <c r="B30" s="24">
        <v>728</v>
      </c>
      <c r="C30" s="25">
        <v>764</v>
      </c>
      <c r="E30" s="21"/>
      <c r="F30" s="27"/>
      <c r="G30" s="27"/>
      <c r="H30" s="21"/>
    </row>
    <row r="31" spans="1:8" x14ac:dyDescent="0.2">
      <c r="E31" s="21"/>
      <c r="F31" s="26"/>
      <c r="G31" s="26"/>
      <c r="H31" s="21"/>
    </row>
    <row r="32" spans="1:8" x14ac:dyDescent="0.2">
      <c r="E32" s="21"/>
      <c r="F32" s="26"/>
      <c r="G32" s="26"/>
      <c r="H32" s="21"/>
    </row>
    <row r="33" spans="5:8" x14ac:dyDescent="0.2">
      <c r="E33" s="21"/>
      <c r="F33" s="26"/>
      <c r="G33" s="26"/>
      <c r="H33" s="21"/>
    </row>
    <row r="34" spans="5:8" x14ac:dyDescent="0.2">
      <c r="E34" s="21"/>
      <c r="F34" s="26"/>
      <c r="G34" s="26"/>
      <c r="H34" s="21"/>
    </row>
    <row r="35" spans="5:8" x14ac:dyDescent="0.2">
      <c r="E35" s="21"/>
      <c r="F35" s="21"/>
      <c r="G35" s="21"/>
      <c r="H35" s="21"/>
    </row>
    <row r="36" spans="5:8" x14ac:dyDescent="0.2">
      <c r="E36" s="21"/>
      <c r="F36" s="21"/>
      <c r="G36" s="21"/>
      <c r="H36" s="21"/>
    </row>
  </sheetData>
  <mergeCells count="1">
    <mergeCell ref="B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64B22-86E4-B14F-B34C-A21F4D0A9F47}">
  <dimension ref="A1:C30"/>
  <sheetViews>
    <sheetView workbookViewId="0">
      <selection activeCell="H29" sqref="H29"/>
    </sheetView>
  </sheetViews>
  <sheetFormatPr baseColWidth="10" defaultRowHeight="16" x14ac:dyDescent="0.2"/>
  <sheetData>
    <row r="1" spans="1:3" ht="17" thickBot="1" x14ac:dyDescent="0.25">
      <c r="B1" s="34" t="s">
        <v>22</v>
      </c>
      <c r="C1" s="35"/>
    </row>
    <row r="2" spans="1:3" ht="17" thickBot="1" x14ac:dyDescent="0.25">
      <c r="A2" s="15" t="s">
        <v>8</v>
      </c>
      <c r="B2" s="7" t="s">
        <v>0</v>
      </c>
      <c r="C2" s="8" t="s">
        <v>1</v>
      </c>
    </row>
    <row r="3" spans="1:3" x14ac:dyDescent="0.2">
      <c r="A3" s="1">
        <v>1</v>
      </c>
      <c r="B3" s="32">
        <v>21</v>
      </c>
      <c r="C3" s="33">
        <v>27</v>
      </c>
    </row>
    <row r="4" spans="1:3" x14ac:dyDescent="0.2">
      <c r="A4" s="1">
        <f>A3+1</f>
        <v>2</v>
      </c>
      <c r="B4" s="32">
        <v>27</v>
      </c>
      <c r="C4" s="33">
        <v>21</v>
      </c>
    </row>
    <row r="5" spans="1:3" x14ac:dyDescent="0.2">
      <c r="A5" s="1">
        <f t="shared" ref="A5:A30" si="0">A4+1</f>
        <v>3</v>
      </c>
      <c r="B5" s="32">
        <v>20.5</v>
      </c>
      <c r="C5" s="33">
        <v>23</v>
      </c>
    </row>
    <row r="6" spans="1:3" x14ac:dyDescent="0.2">
      <c r="A6" s="1">
        <f t="shared" si="0"/>
        <v>4</v>
      </c>
      <c r="B6" s="32">
        <v>23</v>
      </c>
      <c r="C6" s="33">
        <v>20.5</v>
      </c>
    </row>
    <row r="7" spans="1:3" x14ac:dyDescent="0.2">
      <c r="A7" s="1">
        <f t="shared" si="0"/>
        <v>5</v>
      </c>
      <c r="B7" s="32">
        <v>41</v>
      </c>
      <c r="C7" s="33">
        <v>43.9</v>
      </c>
    </row>
    <row r="8" spans="1:3" x14ac:dyDescent="0.2">
      <c r="A8" s="1">
        <f t="shared" si="0"/>
        <v>6</v>
      </c>
      <c r="B8" s="32">
        <v>43.9</v>
      </c>
      <c r="C8" s="33">
        <v>41</v>
      </c>
    </row>
    <row r="9" spans="1:3" x14ac:dyDescent="0.2">
      <c r="A9" s="1">
        <f t="shared" si="0"/>
        <v>7</v>
      </c>
      <c r="B9" s="32">
        <v>42</v>
      </c>
      <c r="C9" s="33">
        <v>40</v>
      </c>
    </row>
    <row r="10" spans="1:3" x14ac:dyDescent="0.2">
      <c r="A10" s="1">
        <f t="shared" si="0"/>
        <v>8</v>
      </c>
      <c r="B10" s="32">
        <v>40</v>
      </c>
      <c r="C10" s="33">
        <v>42</v>
      </c>
    </row>
    <row r="11" spans="1:3" x14ac:dyDescent="0.2">
      <c r="A11" s="1">
        <f t="shared" si="0"/>
        <v>9</v>
      </c>
      <c r="B11" s="32">
        <v>16.3</v>
      </c>
      <c r="C11" s="33">
        <v>22</v>
      </c>
    </row>
    <row r="12" spans="1:3" x14ac:dyDescent="0.2">
      <c r="A12" s="1">
        <f t="shared" si="0"/>
        <v>10</v>
      </c>
      <c r="B12" s="32">
        <v>22</v>
      </c>
      <c r="C12" s="33">
        <v>16.3</v>
      </c>
    </row>
    <row r="13" spans="1:3" x14ac:dyDescent="0.2">
      <c r="A13" s="1">
        <f t="shared" si="0"/>
        <v>11</v>
      </c>
      <c r="B13" s="32">
        <v>24</v>
      </c>
      <c r="C13" s="33">
        <v>22.5</v>
      </c>
    </row>
    <row r="14" spans="1:3" x14ac:dyDescent="0.2">
      <c r="A14" s="1">
        <f t="shared" si="0"/>
        <v>12</v>
      </c>
      <c r="B14" s="32">
        <v>22.5</v>
      </c>
      <c r="C14" s="33">
        <v>24</v>
      </c>
    </row>
    <row r="15" spans="1:3" x14ac:dyDescent="0.2">
      <c r="A15" s="1">
        <f t="shared" si="0"/>
        <v>13</v>
      </c>
      <c r="B15" s="32">
        <v>24.5</v>
      </c>
      <c r="C15" s="33">
        <v>27.4</v>
      </c>
    </row>
    <row r="16" spans="1:3" x14ac:dyDescent="0.2">
      <c r="A16" s="1">
        <f t="shared" si="0"/>
        <v>14</v>
      </c>
      <c r="B16" s="32">
        <v>27.4</v>
      </c>
      <c r="C16" s="33">
        <v>24.5</v>
      </c>
    </row>
    <row r="17" spans="1:3" x14ac:dyDescent="0.2">
      <c r="A17" s="1">
        <f t="shared" si="0"/>
        <v>15</v>
      </c>
      <c r="B17" s="32">
        <v>22.8</v>
      </c>
      <c r="C17" s="33">
        <v>23</v>
      </c>
    </row>
    <row r="18" spans="1:3" x14ac:dyDescent="0.2">
      <c r="A18" s="1">
        <f t="shared" si="0"/>
        <v>16</v>
      </c>
      <c r="B18" s="32">
        <v>23</v>
      </c>
      <c r="C18" s="33">
        <v>22.8</v>
      </c>
    </row>
    <row r="19" spans="1:3" x14ac:dyDescent="0.2">
      <c r="A19" s="1">
        <f t="shared" si="0"/>
        <v>17</v>
      </c>
      <c r="B19" s="32">
        <v>22.5</v>
      </c>
      <c r="C19" s="33">
        <v>22</v>
      </c>
    </row>
    <row r="20" spans="1:3" x14ac:dyDescent="0.2">
      <c r="A20" s="1">
        <f t="shared" si="0"/>
        <v>18</v>
      </c>
      <c r="B20" s="32">
        <v>22</v>
      </c>
      <c r="C20" s="33">
        <v>22.5</v>
      </c>
    </row>
    <row r="21" spans="1:3" x14ac:dyDescent="0.2">
      <c r="A21" s="1">
        <f t="shared" si="0"/>
        <v>19</v>
      </c>
      <c r="B21" s="32">
        <v>38.4</v>
      </c>
      <c r="C21" s="33">
        <v>39.299999999999997</v>
      </c>
    </row>
    <row r="22" spans="1:3" x14ac:dyDescent="0.2">
      <c r="A22" s="1">
        <f t="shared" si="0"/>
        <v>20</v>
      </c>
      <c r="B22" s="32">
        <v>39.299999999999997</v>
      </c>
      <c r="C22" s="33">
        <v>38.4</v>
      </c>
    </row>
    <row r="23" spans="1:3" x14ac:dyDescent="0.2">
      <c r="A23" s="1">
        <f t="shared" si="0"/>
        <v>21</v>
      </c>
      <c r="B23" s="32">
        <v>37.5</v>
      </c>
      <c r="C23" s="33">
        <v>38.9</v>
      </c>
    </row>
    <row r="24" spans="1:3" x14ac:dyDescent="0.2">
      <c r="A24" s="1">
        <f t="shared" si="0"/>
        <v>22</v>
      </c>
      <c r="B24" s="32">
        <v>38.9</v>
      </c>
      <c r="C24" s="33">
        <v>37.5</v>
      </c>
    </row>
    <row r="25" spans="1:3" x14ac:dyDescent="0.2">
      <c r="A25" s="1">
        <f t="shared" si="0"/>
        <v>23</v>
      </c>
      <c r="B25" s="32">
        <v>36.6</v>
      </c>
      <c r="C25" s="33">
        <v>40.200000000000003</v>
      </c>
    </row>
    <row r="26" spans="1:3" x14ac:dyDescent="0.2">
      <c r="A26" s="1">
        <f t="shared" si="0"/>
        <v>24</v>
      </c>
      <c r="B26" s="32">
        <v>40.200000000000003</v>
      </c>
      <c r="C26" s="33">
        <v>36.6</v>
      </c>
    </row>
    <row r="27" spans="1:3" x14ac:dyDescent="0.2">
      <c r="A27" s="1">
        <f t="shared" si="0"/>
        <v>25</v>
      </c>
      <c r="B27" s="32">
        <v>17.399999999999999</v>
      </c>
      <c r="C27" s="33">
        <v>10.9</v>
      </c>
    </row>
    <row r="28" spans="1:3" x14ac:dyDescent="0.2">
      <c r="A28" s="1">
        <f t="shared" si="0"/>
        <v>26</v>
      </c>
      <c r="B28" s="32">
        <v>10.9</v>
      </c>
      <c r="C28" s="33">
        <v>17.399999999999999</v>
      </c>
    </row>
    <row r="29" spans="1:3" x14ac:dyDescent="0.2">
      <c r="A29" s="1">
        <f t="shared" si="0"/>
        <v>27</v>
      </c>
      <c r="B29" s="32">
        <v>14.2</v>
      </c>
      <c r="C29" s="33">
        <v>15.4</v>
      </c>
    </row>
    <row r="30" spans="1:3" x14ac:dyDescent="0.2">
      <c r="A30" s="1">
        <f t="shared" si="0"/>
        <v>28</v>
      </c>
      <c r="B30" s="32">
        <v>15.4</v>
      </c>
      <c r="C30" s="33">
        <v>14.2</v>
      </c>
    </row>
  </sheetData>
  <mergeCells count="1"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FDC4-9B55-1645-BB27-64CC4AF708F8}">
  <dimension ref="A1:M34"/>
  <sheetViews>
    <sheetView workbookViewId="0">
      <selection activeCell="G27" sqref="G27"/>
    </sheetView>
  </sheetViews>
  <sheetFormatPr baseColWidth="10" defaultRowHeight="16" x14ac:dyDescent="0.2"/>
  <sheetData>
    <row r="1" spans="1:13" ht="17" thickBot="1" x14ac:dyDescent="0.25">
      <c r="A1" s="16"/>
      <c r="B1" s="34" t="s">
        <v>25</v>
      </c>
      <c r="C1" s="35"/>
      <c r="D1" s="34" t="s">
        <v>26</v>
      </c>
      <c r="E1" s="39"/>
    </row>
    <row r="2" spans="1:13" ht="17" thickBot="1" x14ac:dyDescent="0.25">
      <c r="A2" s="17" t="s">
        <v>8</v>
      </c>
      <c r="B2" s="18" t="s">
        <v>0</v>
      </c>
      <c r="C2" s="19" t="s">
        <v>1</v>
      </c>
      <c r="D2" s="18" t="s">
        <v>0</v>
      </c>
      <c r="E2" s="19" t="s">
        <v>1</v>
      </c>
      <c r="G2" s="28"/>
    </row>
    <row r="3" spans="1:13" x14ac:dyDescent="0.2">
      <c r="A3" s="20">
        <v>1</v>
      </c>
      <c r="B3" s="30">
        <v>41096</v>
      </c>
      <c r="C3" s="31">
        <v>41096</v>
      </c>
      <c r="D3" s="30">
        <v>41097</v>
      </c>
      <c r="E3" s="31">
        <v>41097</v>
      </c>
    </row>
    <row r="4" spans="1:13" x14ac:dyDescent="0.2">
      <c r="A4" s="20">
        <v>2</v>
      </c>
      <c r="B4" s="30">
        <v>41096</v>
      </c>
      <c r="C4" s="31">
        <v>41096</v>
      </c>
      <c r="D4" s="30">
        <v>41097</v>
      </c>
      <c r="E4" s="31">
        <v>41097</v>
      </c>
    </row>
    <row r="5" spans="1:13" x14ac:dyDescent="0.2">
      <c r="A5" s="20">
        <v>3</v>
      </c>
      <c r="B5" s="30">
        <v>41096</v>
      </c>
      <c r="C5" s="31">
        <v>41096</v>
      </c>
      <c r="D5" s="30">
        <v>41097</v>
      </c>
      <c r="E5" s="31">
        <v>41097</v>
      </c>
    </row>
    <row r="6" spans="1:13" x14ac:dyDescent="0.2">
      <c r="A6" s="20">
        <v>4</v>
      </c>
      <c r="B6" s="30">
        <v>41096</v>
      </c>
      <c r="C6" s="31">
        <v>41096</v>
      </c>
      <c r="D6" s="30">
        <v>41097</v>
      </c>
      <c r="E6" s="31">
        <v>41097</v>
      </c>
      <c r="G6" s="28"/>
    </row>
    <row r="7" spans="1:13" x14ac:dyDescent="0.2">
      <c r="A7" s="20">
        <v>5</v>
      </c>
      <c r="B7" s="30">
        <v>41097</v>
      </c>
      <c r="C7" s="31">
        <v>41097</v>
      </c>
      <c r="D7" s="30">
        <v>41098</v>
      </c>
      <c r="E7" s="31">
        <v>41098</v>
      </c>
    </row>
    <row r="8" spans="1:13" x14ac:dyDescent="0.2">
      <c r="A8" s="20">
        <v>6</v>
      </c>
      <c r="B8" s="30">
        <v>41097</v>
      </c>
      <c r="C8" s="31">
        <v>41097</v>
      </c>
      <c r="D8" s="30">
        <v>41098</v>
      </c>
      <c r="E8" s="31">
        <v>41098</v>
      </c>
    </row>
    <row r="9" spans="1:13" x14ac:dyDescent="0.2">
      <c r="A9" s="20">
        <v>7</v>
      </c>
      <c r="B9" s="30">
        <v>41097</v>
      </c>
      <c r="C9" s="31">
        <v>41097</v>
      </c>
      <c r="D9" s="30">
        <v>41098</v>
      </c>
      <c r="E9" s="31">
        <v>41098</v>
      </c>
    </row>
    <row r="10" spans="1:13" x14ac:dyDescent="0.2">
      <c r="A10" s="20">
        <v>8</v>
      </c>
      <c r="B10" s="30">
        <v>41097</v>
      </c>
      <c r="C10" s="31">
        <v>41097</v>
      </c>
      <c r="D10" s="30">
        <v>41098</v>
      </c>
      <c r="E10" s="31">
        <v>41098</v>
      </c>
      <c r="G10" s="28"/>
    </row>
    <row r="11" spans="1:13" x14ac:dyDescent="0.2">
      <c r="A11" s="20">
        <v>9</v>
      </c>
      <c r="B11" s="30">
        <v>41098</v>
      </c>
      <c r="C11" s="31">
        <v>41098</v>
      </c>
      <c r="D11" s="30">
        <v>41099</v>
      </c>
      <c r="E11" s="31">
        <v>41099</v>
      </c>
    </row>
    <row r="12" spans="1:13" x14ac:dyDescent="0.2">
      <c r="A12" s="20">
        <v>10</v>
      </c>
      <c r="B12" s="30">
        <v>41098</v>
      </c>
      <c r="C12" s="31">
        <v>41098</v>
      </c>
      <c r="D12" s="30">
        <v>41099</v>
      </c>
      <c r="E12" s="31">
        <v>41099</v>
      </c>
    </row>
    <row r="13" spans="1:13" x14ac:dyDescent="0.2">
      <c r="A13" s="20">
        <v>11</v>
      </c>
      <c r="B13" s="30">
        <v>41098</v>
      </c>
      <c r="C13" s="31">
        <v>41098</v>
      </c>
      <c r="D13" s="30">
        <v>41099</v>
      </c>
      <c r="E13" s="31">
        <v>41099</v>
      </c>
    </row>
    <row r="14" spans="1:13" x14ac:dyDescent="0.2">
      <c r="A14" s="20">
        <v>12</v>
      </c>
      <c r="B14" s="30">
        <v>41098</v>
      </c>
      <c r="C14" s="31">
        <v>41098</v>
      </c>
      <c r="D14" s="30">
        <v>41099</v>
      </c>
      <c r="E14" s="31">
        <v>41099</v>
      </c>
      <c r="G14" s="28"/>
    </row>
    <row r="15" spans="1:13" x14ac:dyDescent="0.2">
      <c r="A15" s="20">
        <v>13</v>
      </c>
      <c r="B15" s="30">
        <v>41099</v>
      </c>
      <c r="C15" s="31">
        <v>41099</v>
      </c>
      <c r="D15" s="30">
        <v>41100</v>
      </c>
      <c r="E15" s="31">
        <v>41100</v>
      </c>
    </row>
    <row r="16" spans="1:13" x14ac:dyDescent="0.2">
      <c r="A16" s="20">
        <v>14</v>
      </c>
      <c r="B16" s="30">
        <v>41099</v>
      </c>
      <c r="C16" s="31">
        <v>41099</v>
      </c>
      <c r="D16" s="30">
        <v>41100</v>
      </c>
      <c r="E16" s="31">
        <v>41100</v>
      </c>
      <c r="M16" s="29"/>
    </row>
    <row r="17" spans="1:7" x14ac:dyDescent="0.2">
      <c r="A17" s="20">
        <v>15</v>
      </c>
      <c r="B17" s="30">
        <v>41099</v>
      </c>
      <c r="C17" s="31">
        <v>41099</v>
      </c>
      <c r="D17" s="30">
        <v>41100</v>
      </c>
      <c r="E17" s="31">
        <v>41100</v>
      </c>
    </row>
    <row r="18" spans="1:7" x14ac:dyDescent="0.2">
      <c r="A18" s="20">
        <v>16</v>
      </c>
      <c r="B18" s="30">
        <v>41099</v>
      </c>
      <c r="C18" s="31">
        <v>41099</v>
      </c>
      <c r="D18" s="30">
        <v>41100</v>
      </c>
      <c r="E18" s="31">
        <v>41100</v>
      </c>
      <c r="G18" s="28"/>
    </row>
    <row r="19" spans="1:7" x14ac:dyDescent="0.2">
      <c r="A19" s="20">
        <v>17</v>
      </c>
      <c r="B19" s="30">
        <v>41100</v>
      </c>
      <c r="C19" s="31">
        <v>41100</v>
      </c>
      <c r="D19" s="30">
        <v>41101</v>
      </c>
      <c r="E19" s="31">
        <v>41101</v>
      </c>
    </row>
    <row r="20" spans="1:7" x14ac:dyDescent="0.2">
      <c r="A20" s="20">
        <v>18</v>
      </c>
      <c r="B20" s="30">
        <v>41100</v>
      </c>
      <c r="C20" s="31">
        <v>41100</v>
      </c>
      <c r="D20" s="30">
        <v>41101</v>
      </c>
      <c r="E20" s="31">
        <v>41101</v>
      </c>
    </row>
    <row r="21" spans="1:7" x14ac:dyDescent="0.2">
      <c r="A21" s="20">
        <v>19</v>
      </c>
      <c r="B21" s="30">
        <v>41100</v>
      </c>
      <c r="C21" s="31">
        <v>41100</v>
      </c>
      <c r="D21" s="30">
        <v>41101</v>
      </c>
      <c r="E21" s="31">
        <v>41101</v>
      </c>
    </row>
    <row r="22" spans="1:7" x14ac:dyDescent="0.2">
      <c r="A22" s="20">
        <v>20</v>
      </c>
      <c r="B22" s="30">
        <v>41100</v>
      </c>
      <c r="C22" s="31">
        <v>41100</v>
      </c>
      <c r="D22" s="30">
        <v>41101</v>
      </c>
      <c r="E22" s="31">
        <v>41101</v>
      </c>
    </row>
    <row r="23" spans="1:7" x14ac:dyDescent="0.2">
      <c r="A23" s="20">
        <v>21</v>
      </c>
      <c r="B23" s="30">
        <v>41101</v>
      </c>
      <c r="C23" s="31">
        <v>41101</v>
      </c>
      <c r="D23" s="30">
        <v>41102</v>
      </c>
      <c r="E23" s="31">
        <v>41102</v>
      </c>
      <c r="G23" s="28"/>
    </row>
    <row r="24" spans="1:7" x14ac:dyDescent="0.2">
      <c r="A24" s="20">
        <v>22</v>
      </c>
      <c r="B24" s="30">
        <v>41101</v>
      </c>
      <c r="C24" s="31">
        <v>41101</v>
      </c>
      <c r="D24" s="30">
        <v>41102</v>
      </c>
      <c r="E24" s="31">
        <v>41102</v>
      </c>
    </row>
    <row r="25" spans="1:7" x14ac:dyDescent="0.2">
      <c r="A25" s="20">
        <v>23</v>
      </c>
      <c r="B25" s="30">
        <v>41101</v>
      </c>
      <c r="C25" s="31">
        <v>41101</v>
      </c>
      <c r="D25" s="30">
        <v>41102</v>
      </c>
      <c r="E25" s="31">
        <v>41102</v>
      </c>
    </row>
    <row r="26" spans="1:7" x14ac:dyDescent="0.2">
      <c r="A26" s="20">
        <v>24</v>
      </c>
      <c r="B26" s="30">
        <v>41101</v>
      </c>
      <c r="C26" s="31">
        <v>41101</v>
      </c>
      <c r="D26" s="30">
        <v>41102</v>
      </c>
      <c r="E26" s="31">
        <v>41102</v>
      </c>
    </row>
    <row r="27" spans="1:7" x14ac:dyDescent="0.2">
      <c r="A27" s="20">
        <v>25</v>
      </c>
      <c r="B27" s="30">
        <v>41102</v>
      </c>
      <c r="C27" s="31">
        <v>41102</v>
      </c>
      <c r="D27" s="30">
        <v>41103</v>
      </c>
      <c r="E27" s="31">
        <v>41103</v>
      </c>
      <c r="G27" s="28"/>
    </row>
    <row r="28" spans="1:7" x14ac:dyDescent="0.2">
      <c r="A28" s="20">
        <v>26</v>
      </c>
      <c r="B28" s="30">
        <v>41102</v>
      </c>
      <c r="C28" s="31">
        <v>41102</v>
      </c>
      <c r="D28" s="30">
        <v>41103</v>
      </c>
      <c r="E28" s="31">
        <v>41103</v>
      </c>
    </row>
    <row r="29" spans="1:7" x14ac:dyDescent="0.2">
      <c r="A29" s="20">
        <v>27</v>
      </c>
      <c r="B29" s="30">
        <v>41102</v>
      </c>
      <c r="C29" s="31">
        <v>41102</v>
      </c>
      <c r="D29" s="30">
        <v>41103</v>
      </c>
      <c r="E29" s="31">
        <v>41103</v>
      </c>
    </row>
    <row r="30" spans="1:7" x14ac:dyDescent="0.2">
      <c r="A30" s="20">
        <v>28</v>
      </c>
      <c r="B30" s="30">
        <v>41102</v>
      </c>
      <c r="C30" s="31">
        <v>41102</v>
      </c>
      <c r="D30" s="30">
        <v>41103</v>
      </c>
      <c r="E30" s="31">
        <v>41103</v>
      </c>
      <c r="G30" s="28"/>
    </row>
    <row r="34" spans="7:7" x14ac:dyDescent="0.2">
      <c r="G34" s="28"/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BPUE, CPUE, MVPUE, efficiency </vt:lpstr>
      <vt:lpstr>Biomass</vt:lpstr>
      <vt:lpstr>Net lengths</vt:lpstr>
      <vt:lpstr>Soak time</vt:lpstr>
      <vt:lpstr>Depth</vt:lpstr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Jesse Senko</cp:lastModifiedBy>
  <dcterms:created xsi:type="dcterms:W3CDTF">2019-08-07T20:18:36Z</dcterms:created>
  <dcterms:modified xsi:type="dcterms:W3CDTF">2021-10-04T05:59:08Z</dcterms:modified>
</cp:coreProperties>
</file>